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d Table Live" sheetId="1" r:id="rId4"/>
    <sheet state="visible" name="URLs and Paths" sheetId="2" r:id="rId5"/>
    <sheet state="visible" name="Good Table Capture" sheetId="3" r:id="rId6"/>
    <sheet state="visible" name="Sheet8" sheetId="4" r:id="rId7"/>
  </sheets>
  <definedNames>
    <definedName name="GeocodeAddressColumn_Oct20ScreenshotAddress">#REF!</definedName>
    <definedName name="GeocodeAddressColumn_GoodTableCapture">'Good Table Capture'!$E$1</definedName>
  </definedNames>
  <calcPr/>
</workbook>
</file>

<file path=xl/sharedStrings.xml><?xml version="1.0" encoding="utf-8"?>
<sst xmlns="http://schemas.openxmlformats.org/spreadsheetml/2006/main" count="485" uniqueCount="219">
  <si>
    <t>Restaurant Link and Name</t>
  </si>
  <si>
    <t>Price Range</t>
  </si>
  <si>
    <t>Price Range Values</t>
  </si>
  <si>
    <t>Payment Methods</t>
  </si>
  <si>
    <t>Address</t>
  </si>
  <si>
    <t>Images</t>
  </si>
  <si>
    <t>Ratings</t>
  </si>
  <si>
    <t>Rating Number Estimate</t>
  </si>
  <si>
    <t>General URL:</t>
  </si>
  <si>
    <t>https://www.restomontreal.ca/restaurants/?q=le-plateau&amp;d=22&amp;lang=en</t>
  </si>
  <si>
    <t>Possible Star Rating Output Combinations</t>
  </si>
  <si>
    <t>Translated Numerical Value</t>
  </si>
  <si>
    <t>Restaurant Names, URLs, and Star Ratings:</t>
  </si>
  <si>
    <t>//div[@class='search-result']//span[contains(@id, 'searchname')]/a/text()|//div[@class='search-result']//span[contains(@id, 'searchname')]/a/@href|//div[@class='search-result']//span[contains(@class,'star-rating')]/@class</t>
  </si>
  <si>
    <t>fas fa-star search star-rating,fas fa-star search star-rating,fas fa-star search star-rating,fas fa-star search star-rating,fas fa-star search star-rating</t>
  </si>
  <si>
    <t>Restaurant Price Range:</t>
  </si>
  <si>
    <t>//*[@id="restaurant-profile"]/div[2]/div/div[1]/div[1]/div/div[1]/div/div[2]/div[1]//span[@class="restaurant-price"]/text()</t>
  </si>
  <si>
    <t>fas fa-star search star-rating,fas fa-star search star-rating,fas fa-star search star-rating,fas fa-star search star-rating,fas fa-star-half search star-rating</t>
  </si>
  <si>
    <t>Payment Methods:</t>
  </si>
  <si>
    <t>//*[@id="restaurant-profile"]/div[2]/div/div[1]/div[3]/span[@class="mb10 fs-small"]/text()</t>
  </si>
  <si>
    <t>fas fa-star search star-rating,fas fa-star search star-rating,fas fa-star search star-rating,fas fa-star search star-rating,fal fa-star  star-rating</t>
  </si>
  <si>
    <t>Address:</t>
  </si>
  <si>
    <t>//*[@id="directions-tracker-2"]/span/text()</t>
  </si>
  <si>
    <t>fas fa-star search star-rating,fas fa-star search star-rating,fas fa-star search star-rating,fas fa-star-half search star-rating,fal fa-star  star-rating</t>
  </si>
  <si>
    <t>Images:</t>
  </si>
  <si>
    <t>//*[@id="restaurant-profile"]/div[2]/div/div[1]/div[1]/div/div[1]/div/div[2]/div[2]/a/img/@data-src</t>
  </si>
  <si>
    <t>fas fa-star search star-rating,fas fa-star search star-rating,fas fa-star search star-rating,fal fa-star  star-rating,fal fa-star  star-rating</t>
  </si>
  <si>
    <t>fas fa-star search star-rating,fas fa-star search star-rating,fas fa-star-half search star-rating,fal fa-star  star-rating,fal fa-star  star-rating</t>
  </si>
  <si>
    <t xml:space="preserve"> </t>
  </si>
  <si>
    <t>fas fa-star search star-rating,fas fa-star search star-rating,fal fa-star  star-rating,fal fa-star  star-rating,fal fa-star  star-rating</t>
  </si>
  <si>
    <t>fas fa-star search star-rating,fas fa-star-half search star-rating,fal fa-star  star-rating,fal fa-star  star-rating,fal fa-star  star-rating</t>
  </si>
  <si>
    <t>fas fa-star search star-rating,fal fa-star  star-rating,fal fa-star  star-rating,fal fa-star  star-rating,fal fa-star  star-rating</t>
  </si>
  <si>
    <t>Step-By-Step:</t>
  </si>
  <si>
    <r>
      <rPr>
        <rFont val="Arial"/>
        <b/>
        <color theme="1"/>
      </rPr>
      <t xml:space="preserve">Step 1) 
</t>
    </r>
    <r>
      <rPr>
        <rFont val="Arial"/>
        <color theme="1"/>
      </rPr>
      <t>- Extract the unique restaurant names, URLs, and star ratings for each establishment listed on the main website page. 
- These restaurants were filtered to the Plateau Region. 
- The General URlL and Retaurant Names, URLs, and Star Ratings query were used (created using the inspect and copy XPath commands on our computers)</t>
    </r>
  </si>
  <si>
    <r>
      <rPr>
        <rFont val="Arial"/>
        <b/>
        <color theme="1"/>
      </rPr>
      <t xml:space="preserve">Step 2) 
</t>
    </r>
    <r>
      <rPr>
        <rFont val="Arial"/>
        <color theme="1"/>
      </rPr>
      <t>- In a new “Price Range” column, the price range icons were then scraped using the freshly extracted unique restaurant URL and “Restaurant Price Range” query above. 
- This output provided information formatted like $$$.</t>
    </r>
  </si>
  <si>
    <r>
      <rPr>
        <rFont val="Arial"/>
        <b/>
        <color theme="1"/>
      </rPr>
      <t xml:space="preserve">Step 3) 
</t>
    </r>
    <r>
      <rPr>
        <rFont val="Arial"/>
        <color theme="1"/>
      </rPr>
      <t xml:space="preserve">- In a new “Price Range Value Column", the price range icons were then translated to an approximate monetary value (CAD). 
- To do this, an IFS expression was used to evaluate multiple conditions. </t>
    </r>
  </si>
  <si>
    <r>
      <rPr>
        <rFont val="Arial"/>
        <b/>
        <color theme="1"/>
      </rPr>
      <t xml:space="preserve">Step 3 IFS Equation:
</t>
    </r>
    <r>
      <rPr>
        <rFont val="Arial"/>
        <color theme="1"/>
      </rPr>
      <t xml:space="preserve">
IFS(B3="$", 10,
  B3="$$", 25,
  B3="$$$", 37.5,
  B3="$ &amp; $$", 17.5,
  B3="$ &amp; $$$", 23.75,
  B3="$$ &amp; $$$", 31.25)</t>
    </r>
  </si>
  <si>
    <r>
      <rPr>
        <rFont val="Arial"/>
        <b/>
        <color theme="1"/>
      </rPr>
      <t xml:space="preserve">Step 4) 
</t>
    </r>
    <r>
      <rPr>
        <rFont val="Arial"/>
        <color theme="1"/>
      </rPr>
      <t>- In a new “Payment Methods” column, the accepted forms of payment were listed. 
- To scrape this data, the unique restaurant URL and Payment Methods query were utilized.</t>
    </r>
  </si>
  <si>
    <r>
      <rPr>
        <rFont val="Arial"/>
        <b/>
        <color theme="1"/>
      </rPr>
      <t xml:space="preserve">Step 5) 
</t>
    </r>
    <r>
      <rPr>
        <rFont val="Arial"/>
        <color theme="1"/>
      </rPr>
      <t>- In a new “Address” column, the address, city, and postal code of each restaurant was scrapped. 
- These cells used the unique restaurant URLs and the “Address” query.</t>
    </r>
  </si>
  <si>
    <r>
      <rPr>
        <rFont val="Arial"/>
        <b/>
        <color theme="1"/>
      </rPr>
      <t xml:space="preserve">Step 6) 
</t>
    </r>
    <r>
      <rPr>
        <rFont val="Arial"/>
        <color theme="1"/>
      </rPr>
      <t>- In a new “Images” column, the logo graphics for each restaurant was extracted. 
- These cells used the unique restaurant URLs and the “Images” query. 
- To display the images within the google sheet, the function IMAGE was wrapped around the IMPORTXML function.</t>
    </r>
  </si>
  <si>
    <t>IMAGE(IMPORTXML())</t>
  </si>
  <si>
    <r>
      <rPr>
        <rFont val="Arial"/>
        <b/>
        <color theme="1"/>
      </rPr>
      <t xml:space="preserve">Step 7) 
</t>
    </r>
    <r>
      <rPr>
        <rFont val="Arial"/>
        <color theme="1"/>
      </rPr>
      <t xml:space="preserve">- In a new "Ratings" column, the star ratings extracted in step 1 were reformatted using the TEXTJOIN function. </t>
    </r>
  </si>
  <si>
    <t>TEXTJOIN(",", TRUE, CELLS)</t>
  </si>
  <si>
    <r>
      <rPr>
        <rFont val="Arial"/>
        <b/>
        <color theme="1"/>
      </rPr>
      <t xml:space="preserve">Step 8)
</t>
    </r>
    <r>
      <rPr>
        <rFont val="Arial"/>
        <color theme="1"/>
      </rPr>
      <t>- In a new “Rating Number Estimate” column, the results of step 7 were assigned a value using the IFS function. 
- Text within the cells of step 7 were compared to those in cells D3:D11 on this sheet</t>
    </r>
  </si>
  <si>
    <r>
      <rPr>
        <rFont val="Arial"/>
        <b/>
        <color theme="1"/>
      </rPr>
      <t xml:space="preserve">Step 8 IFS Equation: 
</t>
    </r>
    <r>
      <rPr>
        <rFont val="Arial"/>
        <color theme="1"/>
      </rPr>
      <t xml:space="preserve">
IFS(G3 = 'URLs and Paths'!$D$3,5, 
G3='URLs and Paths'!$D$4, 4.5,
G3='URLs and Paths'!$D$5, 4,
G3='URLs and Paths'!$D$6, 3.5,
G3='URLs and Paths'!$D$7, 3,
G3='URLs and Paths'!$D$8, 2.5,
G3='URLs and Paths'!$D$9, 2,
G3='URLs and Paths'!$D$10, 1.5,
G3='URLs and Paths'!$D$11, 1)</t>
    </r>
  </si>
  <si>
    <t xml:space="preserve">Restaurant Names </t>
  </si>
  <si>
    <t>Latitude</t>
  </si>
  <si>
    <t>Longitude</t>
  </si>
  <si>
    <t>Logos</t>
  </si>
  <si>
    <t>Rating Value</t>
  </si>
  <si>
    <t>https://www.restomontreal.ca/resto/caribou-gourmand-montreal/10879/en/</t>
  </si>
  <si>
    <t xml:space="preserve"> Caribou Gourmand </t>
  </si>
  <si>
    <t>$$ &amp; $$$</t>
  </si>
  <si>
    <t xml:space="preserve">  Master Card, Visa, Interac</t>
  </si>
  <si>
    <t>5308 Boulevard St-Laurent, Montreal, H2T 1S1</t>
  </si>
  <si>
    <t>https://www.restomontreal.ca/resto/thailande-montreal/1741/en/</t>
  </si>
  <si>
    <t xml:space="preserve"> Thailande </t>
  </si>
  <si>
    <t>$$</t>
  </si>
  <si>
    <t xml:space="preserve">  Master Card, Visa, AMEX, Interac</t>
  </si>
  <si>
    <t>88 Avenue Bernard O, Montreal, H2T 2J8</t>
  </si>
  <si>
    <t>https://www.restomontreal.ca/resto/josephine-montreal/12440/en/</t>
  </si>
  <si>
    <t xml:space="preserve"> Joséphine </t>
  </si>
  <si>
    <t>4007 Rue Saint-Denis, Montreal, H2W 2M4</t>
  </si>
  <si>
    <t>https://www.restomontreal.ca/resto/bistro-co-ut-montreal/13205/en/</t>
  </si>
  <si>
    <t xml:space="preserve"> Bistro CO ÚT </t>
  </si>
  <si>
    <t>$ &amp; $$</t>
  </si>
  <si>
    <t>3807 Rue St-André, Montreal, H2L 3V9</t>
  </si>
  <si>
    <t>https://www.restomontreal.ca/resto/la-belle-coree-montreal/12815/en/</t>
  </si>
  <si>
    <t xml:space="preserve"> La Belle Corée </t>
  </si>
  <si>
    <t>$</t>
  </si>
  <si>
    <t>101 Avenue Fairmount O., Montreal, H2T 2M4</t>
  </si>
  <si>
    <t>https://www.restomontreal.ca/resto/sham-mont-royal-montreal/18037/en/</t>
  </si>
  <si>
    <t xml:space="preserve"> Sham Mont-Royal </t>
  </si>
  <si>
    <t xml:space="preserve">  Master Card, Visa, AMEX, Interac, Mobile Payment, Contactless Payment</t>
  </si>
  <si>
    <t>1371 Avenue Mont-Royal E, Montreal, H2J 1Y8</t>
  </si>
  <si>
    <t>https://www.restomontreal.ca/resto/la-maison-grecque-montreal/1288/en/</t>
  </si>
  <si>
    <t xml:space="preserve"> La Maison Grecque </t>
  </si>
  <si>
    <t>450 Avenue Duluth E, Montreal, H2L 1A5</t>
  </si>
  <si>
    <t>https://www.restomontreal.ca/resto/la-petite-marche-montreal/1099/en/</t>
  </si>
  <si>
    <t xml:space="preserve"> La Petite Marche </t>
  </si>
  <si>
    <t>5035 Rue Saint-Denis, Montreal, H2J 2L9</t>
  </si>
  <si>
    <t>https://www.restomontreal.ca/resto/zeez-montreal/17534/en/</t>
  </si>
  <si>
    <t xml:space="preserve"> ZEEZ </t>
  </si>
  <si>
    <t>19 Avenue Mont-Royal E, Montreal, H2T 1N4</t>
  </si>
  <si>
    <t>https://www.restomontreal.ca/resto/comptoir-barranco-cafe-sandwicherie-montreal/15035/en/</t>
  </si>
  <si>
    <t xml:space="preserve"> Comptoir Barranco Café Sandwicherie </t>
  </si>
  <si>
    <t>4552 Rue Saint-Denis, Montreal, H2J 2L3</t>
  </si>
  <si>
    <t>https://www.restomontreal.ca/resto/birbante-montreal/19732/en/</t>
  </si>
  <si>
    <t xml:space="preserve"> Birbante </t>
  </si>
  <si>
    <t>5386 Boulevard St-Laurent, Montreal, H2T 1S1</t>
  </si>
  <si>
    <t>https://www.restomontreal.ca/resto/frite-alors-montreal/747/en/</t>
  </si>
  <si>
    <t xml:space="preserve"> Frite Alors! </t>
  </si>
  <si>
    <t>433 Rue Rachel E, Montreal, H2J 2G8</t>
  </si>
  <si>
    <t>https://www.restomontreal.ca/resto/bar-judinstrom-montreal/21167/en/</t>
  </si>
  <si>
    <t xml:space="preserve"> Bar Judinstrom </t>
  </si>
  <si>
    <t>3922 Rue St-Denis, Montreal, H2W 2M2</t>
  </si>
  <si>
    <t>https://www.restomontreal.ca/resto/la-banquise-montreal/2499/en/</t>
  </si>
  <si>
    <t xml:space="preserve"> La Banquise </t>
  </si>
  <si>
    <t xml:space="preserve">  Interac, ATM machine</t>
  </si>
  <si>
    <t>994 Rue Rachel E., Montreal, H2J 2J3</t>
  </si>
  <si>
    <t>https://www.restomontreal.ca/resto/la-panzeria-montreal/15036/en/</t>
  </si>
  <si>
    <t xml:space="preserve"> La Panzeria </t>
  </si>
  <si>
    <t>4084 Rue Saint-Denis, Montreal, H2W 2M5</t>
  </si>
  <si>
    <t>https://www.restomontreal.ca/resto/restaurant-manana-montreal/4996/en/</t>
  </si>
  <si>
    <t xml:space="preserve"> Restaurant Manana </t>
  </si>
  <si>
    <t>3605 Rue Saint-Denis, Montreal, H2X 3L6</t>
  </si>
  <si>
    <t>https://www.restomontreal.ca/resto/artigiani-pizzeria-cucina-montreal/1889/en/</t>
  </si>
  <si>
    <t xml:space="preserve"> Artigiani Pizzeria Cucina </t>
  </si>
  <si>
    <t>4657 Rue Saint-Denis, Montreal, H2J 2L5</t>
  </si>
  <si>
    <t>https://www.restomontreal.ca/resto/india-rosa-plateau-montreal/12593/en/</t>
  </si>
  <si>
    <t xml:space="preserve"> India Rosa Plateau </t>
  </si>
  <si>
    <t>1241 Avenue Mont Royal E, Montreal, H2J 1Y2</t>
  </si>
  <si>
    <t>https://www.restomontreal.ca/resto/balbastik-montreal/19518/en/</t>
  </si>
  <si>
    <t xml:space="preserve"> Balbastik </t>
  </si>
  <si>
    <t xml:space="preserve">  Master Card, Visa, Interac, Mobile Payment</t>
  </si>
  <si>
    <t>209 Avenue Fairmount O, Montreal, H2T 3E2</t>
  </si>
  <si>
    <t>https://www.restomontreal.ca/resto/mirazu-montreal/12230/en/</t>
  </si>
  <si>
    <t xml:space="preserve"> Mirazu </t>
  </si>
  <si>
    <t>5215 Boulevard St-Laurent, Montreal, H2T 1S4</t>
  </si>
  <si>
    <t>https://www.restomontreal.ca/resto/ohana-sushi-vegan-montreal/13339/en/</t>
  </si>
  <si>
    <t xml:space="preserve"> Ohana Sushi Vegan </t>
  </si>
  <si>
    <t>330 Avenue Mont-Royal E, Montreal, H2T 1P8</t>
  </si>
  <si>
    <t>https://www.restomontreal.ca/resto/le-ravito-cafe-buvette-montreal/19594/en/</t>
  </si>
  <si>
    <t xml:space="preserve"> Le RAVITO Café-Buvette </t>
  </si>
  <si>
    <t>4051 Rue St-Hubert, Montreal, H2L 4A7</t>
  </si>
  <si>
    <t>https://www.restomontreal.ca/resto/bistro-guru-montreal/8344/en/</t>
  </si>
  <si>
    <t xml:space="preserve"> Bistro GURU </t>
  </si>
  <si>
    <t>3464 Rue Saint-Denis, Montreal, H2X 3L3</t>
  </si>
  <si>
    <t>https://www.restomontreal.ca/resto/pamika-thai-montreal/5855/en/</t>
  </si>
  <si>
    <t xml:space="preserve"> Pamika Thai </t>
  </si>
  <si>
    <t>4902 Boulevard St-Laurent, Montreal, H2T 1R5</t>
  </si>
  <si>
    <t>https://www.restomontreal.ca/resto/boca-iberica-montreal/4885/en/</t>
  </si>
  <si>
    <t xml:space="preserve"> BOCA Iberica </t>
  </si>
  <si>
    <t>12 Rue Rachel O, Montreal, H2W 1G1</t>
  </si>
  <si>
    <t>https://www.restomontreal.ca/resto/aux-lilas-montreal/2349/en/</t>
  </si>
  <si>
    <t xml:space="preserve"> Aux Lilas </t>
  </si>
  <si>
    <t>5570 Avenue du Parc, Montreal, H2V 4H1</t>
  </si>
  <si>
    <t>https://www.restomontreal.ca/resto/point-bar-montreal/17196/en/</t>
  </si>
  <si>
    <t xml:space="preserve"> Point Bar </t>
  </si>
  <si>
    <t>2017 Rue St-Denis, Montreal, H2X 3K8</t>
  </si>
  <si>
    <t>https://www.restomontreal.ca/resto/saint-sushi-montreal/6343/en/</t>
  </si>
  <si>
    <t xml:space="preserve"> Saint Sushi </t>
  </si>
  <si>
    <t>424 Avenue Duluth E, Montreal, H2W 2M3</t>
  </si>
  <si>
    <t>https://www.restomontreal.ca/resto/resto-bar-nemo-montreal/17375/en/</t>
  </si>
  <si>
    <t xml:space="preserve"> Resto Bar Nemo </t>
  </si>
  <si>
    <t>64 Rue Prince-Arthur E, Montreal, H2X 1B3</t>
  </si>
  <si>
    <t>https://www.restomontreal.ca/resto/mckibbins-irish-pub-montreal/3367/en/</t>
  </si>
  <si>
    <t xml:space="preserve"> McKibbins Irish Pub </t>
  </si>
  <si>
    <t xml:space="preserve">  Master Card, Visa, AMEX, Interac, ATM machine</t>
  </si>
  <si>
    <t>3515 Boulevard St Laurent, Montreal, H2X 2T6</t>
  </si>
  <si>
    <t>https://www.restomontreal.ca/resto/rutba-montreal/17845/en/</t>
  </si>
  <si>
    <t xml:space="preserve"> Rutba </t>
  </si>
  <si>
    <t>3633 Boulevard St-Laurent, Montreal, H2X 2V5</t>
  </si>
  <si>
    <t>https://www.restomontreal.ca/resto/el-lounge-resto-bar-montreal/17209/en/</t>
  </si>
  <si>
    <t xml:space="preserve"> El Lounge Resto-Bar </t>
  </si>
  <si>
    <t>1735 Saint Denis St, Montreal, Quebec H2X 3K4</t>
  </si>
  <si>
    <t>https://www.restomontreal.ca/resto/mlle-rosa-montreal/18265/en/</t>
  </si>
  <si>
    <t xml:space="preserve"> Mlle Rosa </t>
  </si>
  <si>
    <t>1233 Avenue Mont-Royal E, Montreal, H2J 1Y2</t>
  </si>
  <si>
    <t>https://www.restomontreal.ca/resto/levidence-montreal/2985/en/</t>
  </si>
  <si>
    <t xml:space="preserve"> L'Évidence </t>
  </si>
  <si>
    <t>3817 Rue Saint-Denis, Montreal, H2W 2M4</t>
  </si>
  <si>
    <t>https://www.restomontreal.ca/resto/sandhu-montreal/1936/en/</t>
  </si>
  <si>
    <t xml:space="preserve"> Sandhu </t>
  </si>
  <si>
    <t>4548 Avenue Papineau, Montreal, H2H 1V3</t>
  </si>
  <si>
    <t>https://www.restomontreal.ca/resto/snatch-restaurant-montreal/14069/en/</t>
  </si>
  <si>
    <t xml:space="preserve"> Snatch Restaurant </t>
  </si>
  <si>
    <t>4675 Boulevard St-Laurent, Montreal, H2T 1R2</t>
  </si>
  <si>
    <t>https://www.restomontreal.ca/resto/cafe-buvette-magnolia-montreal/18139/en/</t>
  </si>
  <si>
    <t xml:space="preserve"> Café buvette Magnolia </t>
  </si>
  <si>
    <t>187 Avenue Mont-Royal E, Montreal, H2T 1P2</t>
  </si>
  <si>
    <t>https://www.restomontreal.ca/resto/la-selva-restaurant-mexicain-montreal/1640/en/</t>
  </si>
  <si>
    <t xml:space="preserve"> La Selva Restaurant Mexicain </t>
  </si>
  <si>
    <t>862 Rue Marie-Anne E, Montreal, H2J 2A9</t>
  </si>
  <si>
    <t>https://www.restomontreal.ca/resto/ibericos-taverne-a-tapas-espagnoles-montreal/11112/en/</t>
  </si>
  <si>
    <t xml:space="preserve"> Ibéricos Taverne à Tapas Espagnoles </t>
  </si>
  <si>
    <t>4475 Rue Saint-Denis, Montreal, H2J 2L2</t>
  </si>
  <si>
    <t>https://www.restomontreal.ca/resto/le-ptit-plateau-montreal/1535/en/</t>
  </si>
  <si>
    <t xml:space="preserve"> Le P'tit Plateau </t>
  </si>
  <si>
    <t>330 Rue Marie-Anne E, Montreal, H2W 1B1</t>
  </si>
  <si>
    <t>https://www.restomontreal.ca/resto/pho-mont-royal-montreal/7460/en/</t>
  </si>
  <si>
    <t xml:space="preserve"> Pho Mont-Royal </t>
  </si>
  <si>
    <t>1459 Avenue Mont-Royal, Montreal, H2J 1Y9</t>
  </si>
  <si>
    <t>https://www.restomontreal.ca/resto/diablos-bbq-smokehouse-montreal/5160/en/</t>
  </si>
  <si>
    <t xml:space="preserve"> Diablos BBQ Smokehouse </t>
  </si>
  <si>
    <t>17 Rue Prince-Arthur E, Montreal, H2X 1B2</t>
  </si>
  <si>
    <t>https://www.restomontreal.ca/resto/loeufrier-montreal/2821/en/</t>
  </si>
  <si>
    <t xml:space="preserve"> L'Oeufrier </t>
  </si>
  <si>
    <t>2017 Avenue du Mont-Royal E, Montreal, H2H 1J7</t>
  </si>
  <si>
    <t>https://www.restomontreal.ca/resto/le-bleu-raisin-montreal/1720/en/</t>
  </si>
  <si>
    <t xml:space="preserve"> Le Bleu Raisin </t>
  </si>
  <si>
    <t>$$$</t>
  </si>
  <si>
    <t>5237 Rue Saint-Denis, Montreal, H2J 2M1</t>
  </si>
  <si>
    <t>https://www.restomontreal.ca/resto/piel-canela-montreal/17811/en/</t>
  </si>
  <si>
    <t xml:space="preserve"> Piel Canela </t>
  </si>
  <si>
    <t>4542 Rue St-Denis, Montreal, H2J 2L3</t>
  </si>
  <si>
    <t>https://www.restomontreal.ca/resto/cuisine-pronto-mtl-montreal/10534/en/</t>
  </si>
  <si>
    <t xml:space="preserve"> Cuisine Pronto MTL </t>
  </si>
  <si>
    <t>https://www.restomontreal.ca/resto/rotisserie-coco-rico-montreal/12381/en/</t>
  </si>
  <si>
    <t xml:space="preserve"> Rôtisserie Coco Rico </t>
  </si>
  <si>
    <t>https://www.restomontreal.ca/resto/coba-sushi-montreal/1522/en/</t>
  </si>
  <si>
    <t xml:space="preserve"> Côba Sushi </t>
  </si>
  <si>
    <t>https://www.restomontreal.ca/resto/allo-mon-coco-montreal/10627/en/</t>
  </si>
  <si>
    <t xml:space="preserve"> Allô mon Coco </t>
  </si>
  <si>
    <t>https://www.restomontreal.ca/resto/lobby-bar-espace-locatif-montreal/4406/en/</t>
  </si>
  <si>
    <t xml:space="preserve"> Lobby Bar - Espace Locatif </t>
  </si>
  <si>
    <t>name</t>
  </si>
  <si>
    <t>price</t>
  </si>
  <si>
    <t>avg_price</t>
  </si>
  <si>
    <t>payment_type</t>
  </si>
  <si>
    <t>address</t>
  </si>
  <si>
    <t>lat</t>
  </si>
  <si>
    <t>long</t>
  </si>
  <si>
    <t>rating</t>
  </si>
  <si>
    <t>2025 Avenue Mont-Royal E, Montreal, H2H 1J7</t>
  </si>
  <si>
    <t>3907 Boulevard St-Laurent, Montreal, H2W 1X9</t>
  </si>
  <si>
    <t>1124 Avenue Laurier O, Montreal, H2V 2L4</t>
  </si>
  <si>
    <t>4448 Boulevard St-Laurent, Montreal, H2W 1Z5</t>
  </si>
  <si>
    <t>4538 Rue Papineau, Montreal, H2H 1V3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</si>
</sst>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theme="1"/>
      <name val="Arial"/>
    </font>
    <font>
      <u/>
      <color rgb="FF0000FF"/>
    </font>
    <font>
      <b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434343"/>
      <name val="Roboto"/>
    </font>
    <font>
      <sz val="11.0"/>
      <color rgb="FF000000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CCD9D4"/>
        <bgColor rgb="FFCCD9D4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readingOrder="0"/>
    </xf>
    <xf borderId="0" fillId="5" fontId="5" numFmtId="0" xfId="0" applyAlignment="1" applyFill="1" applyFont="1">
      <alignment readingOrder="0" vertical="top"/>
    </xf>
    <xf borderId="0" fillId="0" fontId="3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5" numFmtId="0" xfId="0" applyAlignment="1" applyFont="1">
      <alignment readingOrder="0" vertical="top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6" fontId="1" numFmtId="49" xfId="0" applyAlignment="1" applyFill="1" applyFont="1" applyNumberForma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0"/>
    </xf>
    <xf borderId="0" fillId="7" fontId="1" numFmtId="0" xfId="0" applyAlignment="1" applyFill="1" applyFont="1">
      <alignment shrinkToFit="0" vertical="center" wrapText="0"/>
    </xf>
    <xf borderId="0" fillId="7" fontId="1" numFmtId="0" xfId="0" applyAlignment="1" applyFont="1">
      <alignment shrinkToFit="0" vertical="center" wrapText="1"/>
    </xf>
    <xf borderId="0" fillId="7" fontId="1" numFmtId="0" xfId="0" applyAlignment="1" applyFont="1">
      <alignment readingOrder="0" shrinkToFit="0" vertical="center" wrapText="0"/>
    </xf>
    <xf borderId="0" fillId="7" fontId="6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CD9D4"/>
          <bgColor rgb="FFCCD9D4"/>
        </patternFill>
      </fill>
      <border/>
    </dxf>
  </dxfs>
  <tableStyles count="3">
    <tableStyle count="4" pivot="0" name="Good Table Liv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Good Table Capture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3" pivot="0" name="Sheet8-style">
      <tableStyleElement dxfId="2" type="firstRowStripe"/>
      <tableStyleElement dxfId="3" type="secondRowStripe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51" displayName="Table1" name="Table1" id="1">
  <tableColumns count="8">
    <tableColumn name="Restaurant Link and Name" id="1"/>
    <tableColumn name="Price Range" id="2"/>
    <tableColumn name="Price Range Values" id="3"/>
    <tableColumn name="Payment Methods" id="4"/>
    <tableColumn name="Address" id="5"/>
    <tableColumn name="Images" id="6"/>
    <tableColumn name="Ratings" id="7"/>
    <tableColumn name="Rating Number Estimate" id="8"/>
  </tableColumns>
  <tableStyleInfo name="Good Table Live-style" showColumnStripes="0" showFirstColumn="1" showLastColumn="1" showRowStripes="1"/>
</table>
</file>

<file path=xl/tables/table2.xml><?xml version="1.0" encoding="utf-8"?>
<table xmlns="http://schemas.openxmlformats.org/spreadsheetml/2006/main" totalsRowCount="1" ref="A1:I102" displayName="Table2" name="Table2" id="2">
  <tableColumns count="9">
    <tableColumn name="Restaurant Names " id="1"/>
    <tableColumn name="Price Range" id="2"/>
    <tableColumn name="Price Range Values" id="3"/>
    <tableColumn name="Payment Methods" id="4"/>
    <tableColumn name="Address" id="5"/>
    <tableColumn name="Latitude" id="6"/>
    <tableColumn name="Longitude" id="7"/>
    <tableColumn name="Logos" id="8"/>
    <tableColumn totalsRowFunction="custom" name="Rating Value" id="9"/>
  </tableColumns>
  <tableStyleInfo name="Good Table Capture-style" showColumnStripes="0" showFirstColumn="1" showLastColumn="1" showRowStripes="1"/>
</table>
</file>

<file path=xl/tables/table3.xml><?xml version="1.0" encoding="utf-8"?>
<table xmlns="http://schemas.openxmlformats.org/spreadsheetml/2006/main" totalsRowCount="1" headerRowCount="0" ref="A1:H55" displayName="Table_1" name="Table_1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stomontreal.ca/resto/piel-canela-montreal/17811/en/" TargetMode="External"/><Relationship Id="rId42" Type="http://schemas.openxmlformats.org/officeDocument/2006/relationships/hyperlink" Target="https://www.restomontreal.ca/resto/ibericos-taverne-a-tapas-espagnoles-montreal/11112/en/" TargetMode="External"/><Relationship Id="rId41" Type="http://schemas.openxmlformats.org/officeDocument/2006/relationships/hyperlink" Target="https://www.restomontreal.ca/resto/letoile-de-locean-montreal/1116/en/" TargetMode="External"/><Relationship Id="rId44" Type="http://schemas.openxmlformats.org/officeDocument/2006/relationships/hyperlink" Target="https://www.restomontreal.ca/resto/restaurant-manana-montreal/4996/en/" TargetMode="External"/><Relationship Id="rId43" Type="http://schemas.openxmlformats.org/officeDocument/2006/relationships/hyperlink" Target="https://www.restomontreal.ca/resto/aux-lilas-montreal/2349/en/" TargetMode="External"/><Relationship Id="rId46" Type="http://schemas.openxmlformats.org/officeDocument/2006/relationships/hyperlink" Target="https://www.restomontreal.ca/resto/el-lounge-resto-bar-montreal/17209/en/" TargetMode="External"/><Relationship Id="rId45" Type="http://schemas.openxmlformats.org/officeDocument/2006/relationships/hyperlink" Target="https://www.restomontreal.ca/resto/boca-iberica-montreal/4885/en/" TargetMode="External"/><Relationship Id="rId1" Type="http://schemas.openxmlformats.org/officeDocument/2006/relationships/hyperlink" Target="https://www.restomontreal.ca/resto/le-mekong-montreal/12927/en/" TargetMode="External"/><Relationship Id="rId2" Type="http://schemas.openxmlformats.org/officeDocument/2006/relationships/hyperlink" Target="https://www.restomontreal.ca/resto/viva-restaurant-bar-montreal/17184/en/" TargetMode="External"/><Relationship Id="rId3" Type="http://schemas.openxmlformats.org/officeDocument/2006/relationships/hyperlink" Target="https://www.restomontreal.ca/resto/chez-doval-montreal/1547/en/" TargetMode="External"/><Relationship Id="rId4" Type="http://schemas.openxmlformats.org/officeDocument/2006/relationships/hyperlink" Target="https://www.restomontreal.ca/resto/cuisine-pronto-mtl-montreal/10534/en/" TargetMode="External"/><Relationship Id="rId9" Type="http://schemas.openxmlformats.org/officeDocument/2006/relationships/hyperlink" Target="https://www.restomontreal.ca/resto/amber-montreal/14101/en/" TargetMode="External"/><Relationship Id="rId48" Type="http://schemas.openxmlformats.org/officeDocument/2006/relationships/hyperlink" Target="https://www.restomontreal.ca/resto/la-binerie-mont-royal-montreal/1117/en/" TargetMode="External"/><Relationship Id="rId47" Type="http://schemas.openxmlformats.org/officeDocument/2006/relationships/hyperlink" Target="https://www.restomontreal.ca/resto/la-selva-restaurant-mexicain-montreal/1640/en/" TargetMode="External"/><Relationship Id="rId49" Type="http://schemas.openxmlformats.org/officeDocument/2006/relationships/hyperlink" Target="https://www.restomontreal.ca/resto/plein-sud-montreal/2492/en/" TargetMode="External"/><Relationship Id="rId5" Type="http://schemas.openxmlformats.org/officeDocument/2006/relationships/hyperlink" Target="https://www.restomontreal.ca/resto/le-virunga-montreal/10928/en/" TargetMode="External"/><Relationship Id="rId6" Type="http://schemas.openxmlformats.org/officeDocument/2006/relationships/hyperlink" Target="https://www.restomontreal.ca/resto/le-nil-bleu-montreal/1427/en/" TargetMode="External"/><Relationship Id="rId7" Type="http://schemas.openxmlformats.org/officeDocument/2006/relationships/hyperlink" Target="https://www.restomontreal.ca/resto/aiko-sushi-montreal/4362/en/" TargetMode="External"/><Relationship Id="rId8" Type="http://schemas.openxmlformats.org/officeDocument/2006/relationships/hyperlink" Target="https://www.restomontreal.ca/resto/comptoir-barranco-cafe-sandwicherie-montreal/15035/en/" TargetMode="External"/><Relationship Id="rId31" Type="http://schemas.openxmlformats.org/officeDocument/2006/relationships/hyperlink" Target="https://www.restomontreal.ca/resto/sandhu-montreal/1936/en/" TargetMode="External"/><Relationship Id="rId30" Type="http://schemas.openxmlformats.org/officeDocument/2006/relationships/hyperlink" Target="https://www.restomontreal.ca/resto/rumi-montreal/1982/en/" TargetMode="External"/><Relationship Id="rId33" Type="http://schemas.openxmlformats.org/officeDocument/2006/relationships/hyperlink" Target="https://www.restomontreal.ca/resto/india-rosa-plateau-montreal/12593/en/" TargetMode="External"/><Relationship Id="rId32" Type="http://schemas.openxmlformats.org/officeDocument/2006/relationships/hyperlink" Target="https://www.restomontreal.ca/resto/mckibbins-irish-pub-montreal/3367/en/" TargetMode="External"/><Relationship Id="rId35" Type="http://schemas.openxmlformats.org/officeDocument/2006/relationships/hyperlink" Target="https://www.restomontreal.ca/resto/pamika-thai-montreal/5855/en/" TargetMode="External"/><Relationship Id="rId34" Type="http://schemas.openxmlformats.org/officeDocument/2006/relationships/hyperlink" Target="https://www.restomontreal.ca/resto/la-khaima-cuisine-nomade-montreal/5117/en/" TargetMode="External"/><Relationship Id="rId37" Type="http://schemas.openxmlformats.org/officeDocument/2006/relationships/hyperlink" Target="https://www.restomontreal.ca/resto/rutba-montreal/17845/en/" TargetMode="External"/><Relationship Id="rId36" Type="http://schemas.openxmlformats.org/officeDocument/2006/relationships/hyperlink" Target="https://www.restomontreal.ca/resto/mlle-rosa-montreal/18265/en/" TargetMode="External"/><Relationship Id="rId39" Type="http://schemas.openxmlformats.org/officeDocument/2006/relationships/hyperlink" Target="https://www.restomontreal.ca/resto/pho-mont-royal-montreal/7460/en/" TargetMode="External"/><Relationship Id="rId38" Type="http://schemas.openxmlformats.org/officeDocument/2006/relationships/hyperlink" Target="https://www.restomontreal.ca/resto/bar-judinstrom-montreal/21167/en/" TargetMode="External"/><Relationship Id="rId20" Type="http://schemas.openxmlformats.org/officeDocument/2006/relationships/hyperlink" Target="https://www.restomontreal.ca/resto/le-bleu-raisin-montreal/1720/en/" TargetMode="External"/><Relationship Id="rId22" Type="http://schemas.openxmlformats.org/officeDocument/2006/relationships/hyperlink" Target="https://www.restomontreal.ca/resto/levidence-montreal/2985/en/" TargetMode="External"/><Relationship Id="rId21" Type="http://schemas.openxmlformats.org/officeDocument/2006/relationships/hyperlink" Target="https://www.restomontreal.ca/resto/khyber-pass-montreal/1027/en/" TargetMode="External"/><Relationship Id="rId24" Type="http://schemas.openxmlformats.org/officeDocument/2006/relationships/hyperlink" Target="https://www.restomontreal.ca/resto/robin-des-bois-montreal/1881/en/" TargetMode="External"/><Relationship Id="rId23" Type="http://schemas.openxmlformats.org/officeDocument/2006/relationships/hyperlink" Target="https://www.restomontreal.ca/resto/au-tarot-montreal/1641/en/" TargetMode="External"/><Relationship Id="rId26" Type="http://schemas.openxmlformats.org/officeDocument/2006/relationships/hyperlink" Target="https://www.restomontreal.ca/resto/la-petite-marche-montreal/1099/en/" TargetMode="External"/><Relationship Id="rId25" Type="http://schemas.openxmlformats.org/officeDocument/2006/relationships/hyperlink" Target="https://www.restomontreal.ca/resto/a-larret-montreal/20297/en/" TargetMode="External"/><Relationship Id="rId28" Type="http://schemas.openxmlformats.org/officeDocument/2006/relationships/hyperlink" Target="https://www.restomontreal.ca/resto/caribou-gourmand-montreal/10879/en/" TargetMode="External"/><Relationship Id="rId27" Type="http://schemas.openxmlformats.org/officeDocument/2006/relationships/hyperlink" Target="https://www.restomontreal.ca/resto/greasy-spoon-montreal/2650/en/" TargetMode="External"/><Relationship Id="rId29" Type="http://schemas.openxmlformats.org/officeDocument/2006/relationships/hyperlink" Target="https://www.restomontreal.ca/resto/loeufrier-montreal/2821/en/" TargetMode="External"/><Relationship Id="rId50" Type="http://schemas.openxmlformats.org/officeDocument/2006/relationships/drawing" Target="../drawings/drawing1.xml"/><Relationship Id="rId52" Type="http://schemas.openxmlformats.org/officeDocument/2006/relationships/table" Target="../tables/table1.xml"/><Relationship Id="rId11" Type="http://schemas.openxmlformats.org/officeDocument/2006/relationships/hyperlink" Target="https://www.restomontreal.ca/resto/panuozzo-montreal/14632/en/" TargetMode="External"/><Relationship Id="rId10" Type="http://schemas.openxmlformats.org/officeDocument/2006/relationships/hyperlink" Target="https://www.restomontreal.ca/resto/la-maison-grecque-montreal/1288/en/" TargetMode="External"/><Relationship Id="rId13" Type="http://schemas.openxmlformats.org/officeDocument/2006/relationships/hyperlink" Target="https://www.restomontreal.ca/resto/thailande-montreal/1741/en/" TargetMode="External"/><Relationship Id="rId12" Type="http://schemas.openxmlformats.org/officeDocument/2006/relationships/hyperlink" Target="https://www.restomontreal.ca/resto/resto-bar-nemo-montreal/17375/en/" TargetMode="External"/><Relationship Id="rId15" Type="http://schemas.openxmlformats.org/officeDocument/2006/relationships/hyperlink" Target="https://www.restomontreal.ca/resto/bistro-guru-montreal/8344/en/" TargetMode="External"/><Relationship Id="rId14" Type="http://schemas.openxmlformats.org/officeDocument/2006/relationships/hyperlink" Target="https://www.restomontreal.ca/resto/la-banquise-montreal/2499/en/" TargetMode="External"/><Relationship Id="rId17" Type="http://schemas.openxmlformats.org/officeDocument/2006/relationships/hyperlink" Target="https://www.restomontreal.ca/resto/restaurant-les-belles-soeurs-montreal/4629/en/" TargetMode="External"/><Relationship Id="rId16" Type="http://schemas.openxmlformats.org/officeDocument/2006/relationships/hyperlink" Target="https://www.restomontreal.ca/resto/au-coin-berbere-couscous-montreal/30/en/" TargetMode="External"/><Relationship Id="rId19" Type="http://schemas.openxmlformats.org/officeDocument/2006/relationships/hyperlink" Target="https://www.restomontreal.ca/resto/coba-sushi-montreal/1522/en/" TargetMode="External"/><Relationship Id="rId18" Type="http://schemas.openxmlformats.org/officeDocument/2006/relationships/hyperlink" Target="https://www.restomontreal.ca/resto/le-pegase-montreal/1141/e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stomontreal.ca/restaurants/?q=le-plateau&amp;d=22&amp;lang=e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stomontreal.ca/resto/caribou-gourmand-montreal/10879/en/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9.13"/>
    <col customWidth="1" min="2" max="2" width="19.38"/>
    <col customWidth="1" min="3" max="3" width="18.88"/>
    <col customWidth="1" min="4" max="4" width="18.25"/>
    <col customWidth="1" min="5" max="5" width="35.0"/>
    <col customWidth="1" min="6" max="6" width="12.88"/>
    <col customWidth="1" min="7" max="7" width="17.63"/>
    <col customWidth="1" min="8" max="8" width="24.63"/>
    <col customWidth="1" min="9" max="9" width="18.63"/>
    <col customWidth="1" min="10" max="10" width="3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</row>
    <row r="2">
      <c r="A2" s="4" t="str">
        <f>IFERROR(__xludf.DUMMYFUNCTION("IMPORTXML('URLs and Paths'!B1,'URLs and Paths'!B3)"),"https://www.restomontreal.ca/resto/sham-mont-royal-montreal/18037/en/")</f>
        <v>https://www.restomontreal.ca/resto/sham-mont-royal-montreal/18037/en/</v>
      </c>
      <c r="D2" s="5"/>
      <c r="H2" s="6"/>
      <c r="I2" s="3"/>
    </row>
    <row r="3">
      <c r="A3" s="7" t="str">
        <f>IFERROR(__xludf.DUMMYFUNCTION("""COMPUTED_VALUE""")," Sham Mont-Royal ")</f>
        <v> Sham Mont-Royal </v>
      </c>
      <c r="B3" s="8" t="str">
        <f>IFERROR(__xludf.DUMMYFUNCTION("IMPORTXML(A2,'URLs and Paths'!$B$4)"),"$$")</f>
        <v>$$</v>
      </c>
      <c r="C3" s="8">
        <f>IFS(B3="$", 10,
  B3="$$", 25,
  B3="$$$", 37.5,
  B3="$ &amp; $$", 17.5,
  B3="$ &amp; $$$", 23.75,
  B3="$$ &amp; $$$", 31.25
)</f>
        <v>25</v>
      </c>
      <c r="D3" s="5" t="str">
        <f>IFERROR(__xludf.DUMMYFUNCTION("IMPORTXML(A2,'URLs and Paths'!$B$5)"),"  Master Card, Visa, AMEX, Interac, Mobile Payment, Contactless Payment")</f>
        <v>  Master Card, Visa, AMEX, Interac, Mobile Payment, Contactless Payment</v>
      </c>
      <c r="E3" s="8" t="str">
        <f>IFERROR(__xludf.DUMMYFUNCTION("IMPORTXML(A2,'URLs and Paths'!$B$6)"),"1371 Avenue Mont-Royal E, Montreal, H2J 1Y8")</f>
        <v>1371 Avenue Mont-Royal E, Montreal, H2J 1Y8</v>
      </c>
      <c r="F3" s="9" t="str">
        <f>IFERROR(__xludf.DUMMYFUNCTION("IMAGE(IMPORTXML(A2,'URLs and Paths'!$B$7))"),"")</f>
        <v/>
      </c>
      <c r="G3" s="10" t="str">
        <f>TEXTJOIN(",",TRUE,A4:A8)</f>
        <v>fas fa-star search star-rating,fas fa-star search star-rating,fas fa-star search star-rating,fas fa-star search star-rating,fas fa-star search star-rating</v>
      </c>
      <c r="H3" s="6">
        <f>IFS(G3 = 'URLs and Paths'!$D$3,5, 
G3='URLs and Paths'!$D$4, 4.5,
G3='URLs and Paths'!$D$5, 4,
G3='URLs and Paths'!$D$6, 3.5,
G3='URLs and Paths'!$D$7, 3,
G3='URLs and Paths'!$D$8, 2.5,
G3='URLs and Paths'!$D$9, 2,
G3='URLs and Paths'!$D$10, 1.5,
G3='URLs and Paths'!$D$11, 1)</f>
        <v>5</v>
      </c>
      <c r="I3" s="11"/>
      <c r="J3" s="12"/>
    </row>
    <row r="4">
      <c r="A4" s="8" t="str">
        <f>IFERROR(__xludf.DUMMYFUNCTION("""COMPUTED_VALUE"""),"fas fa-star search star-rating")</f>
        <v>fas fa-star search star-rating</v>
      </c>
      <c r="D4" s="5"/>
      <c r="H4" s="6"/>
      <c r="I4" s="11"/>
      <c r="J4" s="12"/>
    </row>
    <row r="5">
      <c r="A5" s="8" t="str">
        <f>IFERROR(__xludf.DUMMYFUNCTION("""COMPUTED_VALUE"""),"fas fa-star search star-rating")</f>
        <v>fas fa-star search star-rating</v>
      </c>
      <c r="D5" s="5"/>
      <c r="F5" s="9"/>
      <c r="H5" s="6"/>
      <c r="I5" s="11"/>
      <c r="J5" s="12"/>
    </row>
    <row r="6">
      <c r="A6" s="8" t="str">
        <f>IFERROR(__xludf.DUMMYFUNCTION("""COMPUTED_VALUE"""),"fas fa-star search star-rating")</f>
        <v>fas fa-star search star-rating</v>
      </c>
      <c r="D6" s="5"/>
      <c r="H6" s="6"/>
      <c r="I6" s="11"/>
      <c r="J6" s="12"/>
    </row>
    <row r="7">
      <c r="A7" s="8" t="str">
        <f>IFERROR(__xludf.DUMMYFUNCTION("""COMPUTED_VALUE"""),"fas fa-star search star-rating")</f>
        <v>fas fa-star search star-rating</v>
      </c>
      <c r="D7" s="5"/>
      <c r="F7" s="9"/>
      <c r="H7" s="6"/>
      <c r="I7" s="11"/>
      <c r="J7" s="12"/>
    </row>
    <row r="8">
      <c r="A8" s="8" t="str">
        <f>IFERROR(__xludf.DUMMYFUNCTION("""COMPUTED_VALUE"""),"fas fa-star search star-rating")</f>
        <v>fas fa-star search star-rating</v>
      </c>
      <c r="D8" s="5"/>
      <c r="H8" s="6"/>
      <c r="I8" s="11"/>
      <c r="J8" s="12"/>
    </row>
    <row r="9">
      <c r="A9" s="4" t="str">
        <f>IFERROR(__xludf.DUMMYFUNCTION("""COMPUTED_VALUE"""),"https://www.restomontreal.ca/resto/le-mekong-montreal/12927/en/")</f>
        <v>https://www.restomontreal.ca/resto/le-mekong-montreal/12927/en/</v>
      </c>
      <c r="D9" s="5"/>
      <c r="F9" s="9"/>
      <c r="H9" s="6"/>
      <c r="I9" s="3"/>
    </row>
    <row r="10">
      <c r="A10" s="7" t="str">
        <f>IFERROR(__xludf.DUMMYFUNCTION("""COMPUTED_VALUE""")," Le Mekong ")</f>
        <v> Le Mekong </v>
      </c>
      <c r="B10" s="8" t="str">
        <f>IFERROR(__xludf.DUMMYFUNCTION("IMPORTXML(A9,'URLs and Paths'!$B$4)"),"$ &amp; $$")</f>
        <v>$ &amp; $$</v>
      </c>
      <c r="C10" s="8">
        <f>IFS(B10="$", 10,
  B10="$$", 25,
  B10="$$$", 37.5,
  B10="$ &amp; $$", 17.5,
  B10="$ &amp; $$$", 23.75,
  B10="$$ &amp; $$$", 31.25
)</f>
        <v>17.5</v>
      </c>
      <c r="D10" s="5" t="str">
        <f>IFERROR(__xludf.DUMMYFUNCTION("IMPORTXML(A9,'URLs and Paths'!$B$5)"),"Loading...")</f>
        <v>Loading...</v>
      </c>
      <c r="E10" s="8" t="str">
        <f>IFERROR(__xludf.DUMMYFUNCTION("IMPORTXML(A9,'URLs and Paths'!$B$6)"),"921 Avenue Mont-Royal E, Montreal, H2J 1X3")</f>
        <v>921 Avenue Mont-Royal E, Montreal, H2J 1X3</v>
      </c>
      <c r="F10" s="9" t="str">
        <f>IFERROR(__xludf.DUMMYFUNCTION("IMAGE(IMPORTXML(A9,'URLs and Paths'!$B$7))"),"")</f>
        <v/>
      </c>
      <c r="G10" s="10" t="str">
        <f>TEXTJOIN(",",TRUE,A11:A15)</f>
        <v>fas fa-star search star-rating,fas fa-star search star-rating,fas fa-star search star-rating,fas fa-star search star-rating,fas fa-star-half search star-rating</v>
      </c>
      <c r="H10" s="6">
        <f>IFS(G10 = 'URLs and Paths'!$D$3,5, 
G10='URLs and Paths'!$D$4, 4.5,
G10='URLs and Paths'!$D$5, 4,
G10='URLs and Paths'!$D$6, 3.5,
G10='URLs and Paths'!$D$7, 3,
G10='URLs and Paths'!$D$8, 2.5,
G10='URLs and Paths'!$D$9, 2,
G10='URLs and Paths'!$D$10, 1.5,
G10='URLs and Paths'!$D$11, 1)</f>
        <v>4.5</v>
      </c>
      <c r="I10" s="3"/>
    </row>
    <row r="11">
      <c r="A11" s="8" t="str">
        <f>IFERROR(__xludf.DUMMYFUNCTION("""COMPUTED_VALUE"""),"fas fa-star search star-rating")</f>
        <v>fas fa-star search star-rating</v>
      </c>
      <c r="D11" s="5"/>
      <c r="F11" s="9"/>
      <c r="H11" s="6"/>
      <c r="I11" s="3"/>
    </row>
    <row r="12">
      <c r="A12" s="8" t="str">
        <f>IFERROR(__xludf.DUMMYFUNCTION("""COMPUTED_VALUE"""),"fas fa-star search star-rating")</f>
        <v>fas fa-star search star-rating</v>
      </c>
      <c r="D12" s="5"/>
      <c r="H12" s="6"/>
      <c r="I12" s="3"/>
    </row>
    <row r="13">
      <c r="A13" s="8" t="str">
        <f>IFERROR(__xludf.DUMMYFUNCTION("""COMPUTED_VALUE"""),"fas fa-star search star-rating")</f>
        <v>fas fa-star search star-rating</v>
      </c>
      <c r="D13" s="5"/>
      <c r="F13" s="9"/>
      <c r="H13" s="6"/>
      <c r="I13" s="3"/>
    </row>
    <row r="14">
      <c r="A14" s="8" t="str">
        <f>IFERROR(__xludf.DUMMYFUNCTION("""COMPUTED_VALUE"""),"fas fa-star search star-rating")</f>
        <v>fas fa-star search star-rating</v>
      </c>
      <c r="D14" s="5"/>
      <c r="H14" s="6"/>
      <c r="I14" s="3"/>
    </row>
    <row r="15">
      <c r="A15" s="6" t="str">
        <f>IFERROR(__xludf.DUMMYFUNCTION("""COMPUTED_VALUE"""),"fas fa-star-half search star-rating")</f>
        <v>fas fa-star-half search star-rating</v>
      </c>
      <c r="D15" s="5"/>
      <c r="F15" s="9"/>
      <c r="H15" s="6"/>
      <c r="I15" s="3"/>
    </row>
    <row r="16">
      <c r="A16" s="4" t="str">
        <f>IFERROR(__xludf.DUMMYFUNCTION("""COMPUTED_VALUE"""),"https://www.restomontreal.ca/resto/viva-restaurant-bar-montreal/17184/en/")</f>
        <v>https://www.restomontreal.ca/resto/viva-restaurant-bar-montreal/17184/en/</v>
      </c>
      <c r="B16" s="6"/>
      <c r="C16" s="6"/>
      <c r="D16" s="13"/>
      <c r="E16" s="6"/>
      <c r="F16" s="6"/>
      <c r="H16" s="6"/>
      <c r="I16" s="3"/>
    </row>
    <row r="17">
      <c r="A17" s="7" t="str">
        <f>IFERROR(__xludf.DUMMYFUNCTION("""COMPUTED_VALUE""")," Viva Restaurant + Bar ")</f>
        <v> Viva Restaurant + Bar </v>
      </c>
      <c r="B17" s="8" t="str">
        <f>IFERROR(__xludf.DUMMYFUNCTION("IMPORTXML(A16,'URLs and Paths'!$B$4)"),"$$ &amp; $$$")</f>
        <v>$$ &amp; $$$</v>
      </c>
      <c r="C17" s="8">
        <f>IFS(B17="$", 10,
  B17="$$", 25,
  B17="$$$", 37.5,
  B17="$ &amp; $$", 17.5,
  B17="$ &amp; $$$", 23.75,
  B17="$$ &amp; $$$", 31.25
)</f>
        <v>31.25</v>
      </c>
      <c r="D17" s="5" t="str">
        <f>IFERROR(__xludf.DUMMYFUNCTION("IMPORTXML(A16,'URLs and Paths'!$B$5)"),"  Master Card, Visa, Interac, Mobile Payment, Contactless Payment")</f>
        <v>  Master Card, Visa, Interac, Mobile Payment, Contactless Payment</v>
      </c>
      <c r="E17" s="8" t="str">
        <f>IFERROR(__xludf.DUMMYFUNCTION("IMPORTXML(A16,'URLs and Paths'!$B$6)"),"107 Rue Rachel E, Montreal, H2W 1C8")</f>
        <v>107 Rue Rachel E, Montreal, H2W 1C8</v>
      </c>
      <c r="F17" s="9" t="str">
        <f>IFERROR(__xludf.DUMMYFUNCTION("IMAGE(IMPORTXML(A16,'URLs and Paths'!$B$7))"),"")</f>
        <v/>
      </c>
      <c r="G17" s="10" t="str">
        <f>TEXTJOIN(",",TRUE,A18:A22)</f>
        <v>fas fa-star search star-rating,fas fa-star search star-rating,fas fa-star search star-rating,fas fa-star search star-rating,fas fa-star search star-rating</v>
      </c>
      <c r="H17" s="6">
        <f>IFS(G17 = 'URLs and Paths'!$D$3,5, 
G17='URLs and Paths'!$D$4, 4.5,
G17='URLs and Paths'!$D$5, 4,
G17='URLs and Paths'!$D$6, 3.5,
G17='URLs and Paths'!$D$7, 3,
G17='URLs and Paths'!$D$8, 2.5,
G17='URLs and Paths'!$D$9, 2,
G17='URLs and Paths'!$D$10, 1.5,
G17='URLs and Paths'!$D$11, 1)</f>
        <v>5</v>
      </c>
      <c r="I17" s="3"/>
    </row>
    <row r="18">
      <c r="A18" s="6" t="str">
        <f>IFERROR(__xludf.DUMMYFUNCTION("""COMPUTED_VALUE"""),"fas fa-star search star-rating")</f>
        <v>fas fa-star search star-rating</v>
      </c>
      <c r="B18" s="6"/>
      <c r="C18" s="6"/>
      <c r="D18" s="13"/>
      <c r="E18" s="6"/>
      <c r="F18" s="6"/>
      <c r="H18" s="6"/>
      <c r="I18" s="3"/>
    </row>
    <row r="19">
      <c r="A19" s="6" t="str">
        <f>IFERROR(__xludf.DUMMYFUNCTION("""COMPUTED_VALUE"""),"fas fa-star search star-rating")</f>
        <v>fas fa-star search star-rating</v>
      </c>
      <c r="D19" s="5"/>
      <c r="F19" s="9"/>
      <c r="H19" s="6"/>
      <c r="I19" s="3"/>
    </row>
    <row r="20">
      <c r="A20" s="6" t="str">
        <f>IFERROR(__xludf.DUMMYFUNCTION("""COMPUTED_VALUE"""),"fas fa-star search star-rating")</f>
        <v>fas fa-star search star-rating</v>
      </c>
      <c r="B20" s="6"/>
      <c r="C20" s="6"/>
      <c r="D20" s="13"/>
      <c r="E20" s="6"/>
      <c r="F20" s="6"/>
      <c r="H20" s="6"/>
      <c r="I20" s="3"/>
    </row>
    <row r="21">
      <c r="A21" s="6" t="str">
        <f>IFERROR(__xludf.DUMMYFUNCTION("""COMPUTED_VALUE"""),"fas fa-star search star-rating")</f>
        <v>fas fa-star search star-rating</v>
      </c>
      <c r="D21" s="5"/>
      <c r="F21" s="9"/>
      <c r="H21" s="6"/>
      <c r="I21" s="3"/>
    </row>
    <row r="22">
      <c r="A22" s="6" t="str">
        <f>IFERROR(__xludf.DUMMYFUNCTION("""COMPUTED_VALUE"""),"fas fa-star search star-rating")</f>
        <v>fas fa-star search star-rating</v>
      </c>
      <c r="B22" s="6"/>
      <c r="C22" s="6"/>
      <c r="D22" s="13"/>
      <c r="E22" s="6"/>
      <c r="F22" s="6"/>
      <c r="H22" s="6"/>
      <c r="I22" s="3"/>
    </row>
    <row r="23">
      <c r="A23" s="4" t="str">
        <f>IFERROR(__xludf.DUMMYFUNCTION("""COMPUTED_VALUE"""),"https://www.restomontreal.ca/resto/chez-doval-montreal/1547/en/")</f>
        <v>https://www.restomontreal.ca/resto/chez-doval-montreal/1547/en/</v>
      </c>
      <c r="D23" s="5"/>
      <c r="F23" s="9"/>
      <c r="H23" s="6"/>
      <c r="I23" s="3"/>
    </row>
    <row r="24">
      <c r="A24" s="7" t="str">
        <f>IFERROR(__xludf.DUMMYFUNCTION("""COMPUTED_VALUE""")," Chez Doval ")</f>
        <v> Chez Doval </v>
      </c>
      <c r="B24" s="8" t="str">
        <f>IFERROR(__xludf.DUMMYFUNCTION("IMPORTXML(A23,'URLs and Paths'!$B$4)"),"Loading...")</f>
        <v>Loading...</v>
      </c>
      <c r="C24" s="8" t="str">
        <f>IFS(B24="$", 10,
  B24="$$", 25,
  B24="$$$", 37.5,
  B24="$ &amp; $$", 17.5,
  B24="$ &amp; $$$", 23.75,
  B24="$$ &amp; $$$", 31.25
)</f>
        <v>Loading...</v>
      </c>
      <c r="D24" s="5" t="str">
        <f>IFERROR(__xludf.DUMMYFUNCTION("IMPORTXML(A23,'URLs and Paths'!$B$5)"),"Loading...")</f>
        <v>Loading...</v>
      </c>
      <c r="E24" s="8" t="str">
        <f>IFERROR(__xludf.DUMMYFUNCTION("IMPORTXML(A23,'URLs and Paths'!$B$6)"),"Loading...")</f>
        <v>Loading...</v>
      </c>
      <c r="F24" s="9" t="str">
        <f>IFERROR(__xludf.DUMMYFUNCTION("IMAGE(IMPORTXML(A23,'URLs and Paths'!$B$7))"),"Loading...")</f>
        <v>Loading...</v>
      </c>
      <c r="G24" s="10" t="str">
        <f>TEXTJOIN(",",TRUE,A25:A29)</f>
        <v>fas fa-star search star-rating,fas fa-star search star-rating,fas fa-star search star-rating,fas fa-star search star-rating,fas fa-star-half search star-rating</v>
      </c>
      <c r="H24" s="6">
        <f>IFS(G24 = 'URLs and Paths'!$D$3,5, 
G24='URLs and Paths'!$D$4, 4.5,
G24='URLs and Paths'!$D$5, 4,
G24='URLs and Paths'!$D$6, 3.5,
G24='URLs and Paths'!$D$7, 3,
G24='URLs and Paths'!$D$8, 2.5,
G24='URLs and Paths'!$D$9, 2,
G24='URLs and Paths'!$D$10, 1.5,
G24='URLs and Paths'!$D$11, 1)</f>
        <v>4.5</v>
      </c>
      <c r="I24" s="3"/>
    </row>
    <row r="25">
      <c r="A25" s="6" t="str">
        <f>IFERROR(__xludf.DUMMYFUNCTION("""COMPUTED_VALUE"""),"fas fa-star search star-rating")</f>
        <v>fas fa-star search star-rating</v>
      </c>
      <c r="D25" s="5"/>
      <c r="F25" s="9"/>
      <c r="H25" s="6"/>
      <c r="I25" s="3"/>
    </row>
    <row r="26">
      <c r="A26" s="6" t="str">
        <f>IFERROR(__xludf.DUMMYFUNCTION("""COMPUTED_VALUE"""),"fas fa-star search star-rating")</f>
        <v>fas fa-star search star-rating</v>
      </c>
      <c r="B26" s="6"/>
      <c r="C26" s="6"/>
      <c r="D26" s="13"/>
      <c r="E26" s="6"/>
      <c r="F26" s="6"/>
      <c r="H26" s="6"/>
      <c r="I26" s="3"/>
    </row>
    <row r="27">
      <c r="A27" s="6" t="str">
        <f>IFERROR(__xludf.DUMMYFUNCTION("""COMPUTED_VALUE"""),"fas fa-star search star-rating")</f>
        <v>fas fa-star search star-rating</v>
      </c>
      <c r="D27" s="5"/>
      <c r="F27" s="9"/>
      <c r="H27" s="6"/>
      <c r="I27" s="3"/>
    </row>
    <row r="28">
      <c r="A28" s="6" t="str">
        <f>IFERROR(__xludf.DUMMYFUNCTION("""COMPUTED_VALUE"""),"fas fa-star search star-rating")</f>
        <v>fas fa-star search star-rating</v>
      </c>
      <c r="B28" s="6"/>
      <c r="C28" s="6"/>
      <c r="D28" s="13"/>
      <c r="E28" s="6"/>
      <c r="F28" s="6"/>
      <c r="H28" s="6"/>
      <c r="I28" s="3"/>
    </row>
    <row r="29">
      <c r="A29" s="6" t="str">
        <f>IFERROR(__xludf.DUMMYFUNCTION("""COMPUTED_VALUE"""),"fas fa-star-half search star-rating")</f>
        <v>fas fa-star-half search star-rating</v>
      </c>
      <c r="D29" s="5"/>
      <c r="F29" s="9"/>
      <c r="H29" s="6"/>
      <c r="I29" s="3"/>
    </row>
    <row r="30">
      <c r="A30" s="4" t="str">
        <f>IFERROR(__xludf.DUMMYFUNCTION("""COMPUTED_VALUE"""),"https://www.restomontreal.ca/resto/cuisine-pronto-mtl-montreal/10534/en/")</f>
        <v>https://www.restomontreal.ca/resto/cuisine-pronto-mtl-montreal/10534/en/</v>
      </c>
      <c r="B30" s="6"/>
      <c r="C30" s="6"/>
      <c r="D30" s="13"/>
      <c r="E30" s="6"/>
      <c r="F30" s="6"/>
      <c r="H30" s="6"/>
      <c r="I30" s="3"/>
    </row>
    <row r="31">
      <c r="A31" s="7" t="str">
        <f>IFERROR(__xludf.DUMMYFUNCTION("""COMPUTED_VALUE""")," Cuisine Pronto MTL ")</f>
        <v> Cuisine Pronto MTL </v>
      </c>
      <c r="B31" s="8" t="str">
        <f>IFERROR(__xludf.DUMMYFUNCTION("IMPORTXML(A30,'URLs and Paths'!$B$4)"),"Loading...")</f>
        <v>Loading...</v>
      </c>
      <c r="C31" s="8" t="str">
        <f>IFS(B31="$", 10,
  B31="$$", 25,
  B31="$$$", 37.5,
  B31="$ &amp; $$", 17.5,
  B31="$ &amp; $$$", 23.75,
  B31="$$ &amp; $$$", 31.25
)</f>
        <v>Loading...</v>
      </c>
      <c r="D31" s="5" t="str">
        <f>IFERROR(__xludf.DUMMYFUNCTION("IMPORTXML(A30,'URLs and Paths'!$B$5)"),"Loading...")</f>
        <v>Loading...</v>
      </c>
      <c r="E31" s="8" t="str">
        <f>IFERROR(__xludf.DUMMYFUNCTION("IMPORTXML(A30,'URLs and Paths'!$B$6)"),"2025 Avenue Mont-Royal E, Montreal, H2H 1J7")</f>
        <v>2025 Avenue Mont-Royal E, Montreal, H2H 1J7</v>
      </c>
      <c r="F31" s="9" t="str">
        <f>IFERROR(__xludf.DUMMYFUNCTION("IMAGE(IMPORTXML(A30,'URLs and Paths'!$B$7))"),"Loading...")</f>
        <v>Loading...</v>
      </c>
      <c r="G31" s="10" t="str">
        <f>TEXTJOIN(",",TRUE,A32:A36)</f>
        <v>fas fa-star search star-rating,fas fa-star search star-rating,fas fa-star search star-rating,fas fa-star search star-rating,fas fa-star-half search star-rating</v>
      </c>
      <c r="H31" s="6">
        <f>IFS(G31 = 'URLs and Paths'!$D$3,5, 
G31='URLs and Paths'!$D$4, 4.5,
G31='URLs and Paths'!$D$5, 4,
G31='URLs and Paths'!$D$6, 3.5,
G31='URLs and Paths'!$D$7, 3,
G31='URLs and Paths'!$D$8, 2.5,
G31='URLs and Paths'!$D$9, 2,
G31='URLs and Paths'!$D$10, 1.5,
G31='URLs and Paths'!$D$11, 1)</f>
        <v>4.5</v>
      </c>
      <c r="I31" s="3"/>
    </row>
    <row r="32">
      <c r="A32" s="6" t="str">
        <f>IFERROR(__xludf.DUMMYFUNCTION("""COMPUTED_VALUE"""),"fas fa-star search star-rating")</f>
        <v>fas fa-star search star-rating</v>
      </c>
      <c r="B32" s="6"/>
      <c r="C32" s="6"/>
      <c r="D32" s="13"/>
      <c r="E32" s="6"/>
      <c r="F32" s="6"/>
      <c r="H32" s="6"/>
      <c r="I32" s="3"/>
    </row>
    <row r="33">
      <c r="A33" s="6" t="str">
        <f>IFERROR(__xludf.DUMMYFUNCTION("""COMPUTED_VALUE"""),"fas fa-star search star-rating")</f>
        <v>fas fa-star search star-rating</v>
      </c>
      <c r="D33" s="5"/>
      <c r="F33" s="9"/>
      <c r="H33" s="6"/>
      <c r="I33" s="3"/>
    </row>
    <row r="34">
      <c r="A34" s="6" t="str">
        <f>IFERROR(__xludf.DUMMYFUNCTION("""COMPUTED_VALUE"""),"fas fa-star search star-rating")</f>
        <v>fas fa-star search star-rating</v>
      </c>
      <c r="B34" s="6"/>
      <c r="C34" s="6"/>
      <c r="D34" s="13"/>
      <c r="E34" s="6"/>
      <c r="F34" s="6"/>
      <c r="H34" s="6"/>
      <c r="I34" s="3"/>
    </row>
    <row r="35">
      <c r="A35" s="6" t="str">
        <f>IFERROR(__xludf.DUMMYFUNCTION("""COMPUTED_VALUE"""),"fas fa-star search star-rating")</f>
        <v>fas fa-star search star-rating</v>
      </c>
      <c r="D35" s="5"/>
      <c r="F35" s="9"/>
      <c r="H35" s="6"/>
      <c r="I35" s="3"/>
    </row>
    <row r="36">
      <c r="A36" s="6" t="str">
        <f>IFERROR(__xludf.DUMMYFUNCTION("""COMPUTED_VALUE"""),"fas fa-star-half search star-rating")</f>
        <v>fas fa-star-half search star-rating</v>
      </c>
      <c r="B36" s="6"/>
      <c r="C36" s="6"/>
      <c r="D36" s="13"/>
      <c r="E36" s="6"/>
      <c r="F36" s="6"/>
      <c r="H36" s="6"/>
      <c r="I36" s="3"/>
    </row>
    <row r="37">
      <c r="A37" s="4" t="str">
        <f>IFERROR(__xludf.DUMMYFUNCTION("""COMPUTED_VALUE"""),"https://www.restomontreal.ca/resto/le-virunga-montreal/10928/en/")</f>
        <v>https://www.restomontreal.ca/resto/le-virunga-montreal/10928/en/</v>
      </c>
      <c r="D37" s="5"/>
      <c r="F37" s="9"/>
      <c r="H37" s="6"/>
      <c r="I37" s="3"/>
    </row>
    <row r="38">
      <c r="A38" s="7" t="str">
        <f>IFERROR(__xludf.DUMMYFUNCTION("""COMPUTED_VALUE""")," Le Virunga ")</f>
        <v> Le Virunga </v>
      </c>
      <c r="B38" s="8" t="str">
        <f>IFERROR(__xludf.DUMMYFUNCTION("IMPORTXML(A37,'URLs and Paths'!$B$4)"),"Loading...")</f>
        <v>Loading...</v>
      </c>
      <c r="C38" s="8" t="str">
        <f>IFS(B38="$", 10,
  B38="$$", 25,
  B38="$$$", 37.5,
  B38="$ &amp; $$", 17.5,
  B38="$ &amp; $$$", 23.75,
  B38="$$ &amp; $$$", 31.25
)</f>
        <v>Loading...</v>
      </c>
      <c r="D38" s="5" t="str">
        <f>IFERROR(__xludf.DUMMYFUNCTION("IMPORTXML(A37,'URLs and Paths'!$B$5)"),"Loading...")</f>
        <v>Loading...</v>
      </c>
      <c r="E38" s="8" t="str">
        <f>IFERROR(__xludf.DUMMYFUNCTION("IMPORTXML(A37,'URLs and Paths'!$B$6)"),"Loading...")</f>
        <v>Loading...</v>
      </c>
      <c r="F38" s="9" t="str">
        <f>IFERROR(__xludf.DUMMYFUNCTION("IMAGE(IMPORTXML(A37,'URLs and Paths'!$B$7))"),"Loading...")</f>
        <v>Loading...</v>
      </c>
      <c r="G38" s="10" t="str">
        <f>TEXTJOIN(",",TRUE,A39:A43)</f>
        <v>fas fa-star search star-rating,fas fa-star search star-rating,fas fa-star search star-rating,fas fa-star search star-rating,fas fa-star search star-rating</v>
      </c>
      <c r="H38" s="6">
        <f>IFS(G38 = 'URLs and Paths'!$D$3,5, 
G38='URLs and Paths'!$D$4, 4.5,
G38='URLs and Paths'!$D$5, 4,
G38='URLs and Paths'!$D$6, 3.5,
G38='URLs and Paths'!$D$7, 3,
G38='URLs and Paths'!$D$8, 2.5,
G38='URLs and Paths'!$D$9, 2,
G38='URLs and Paths'!$D$10, 1.5,
G38='URLs and Paths'!$D$11, 1)</f>
        <v>5</v>
      </c>
      <c r="I38" s="3"/>
    </row>
    <row r="39">
      <c r="A39" s="6" t="str">
        <f>IFERROR(__xludf.DUMMYFUNCTION("""COMPUTED_VALUE"""),"fas fa-star search star-rating")</f>
        <v>fas fa-star search star-rating</v>
      </c>
      <c r="D39" s="5"/>
      <c r="F39" s="9"/>
      <c r="H39" s="6"/>
      <c r="I39" s="3"/>
    </row>
    <row r="40">
      <c r="A40" s="6" t="str">
        <f>IFERROR(__xludf.DUMMYFUNCTION("""COMPUTED_VALUE"""),"fas fa-star search star-rating")</f>
        <v>fas fa-star search star-rating</v>
      </c>
      <c r="B40" s="6"/>
      <c r="C40" s="6"/>
      <c r="D40" s="13"/>
      <c r="E40" s="6"/>
      <c r="F40" s="6"/>
      <c r="H40" s="6"/>
      <c r="I40" s="3"/>
    </row>
    <row r="41">
      <c r="A41" s="6" t="str">
        <f>IFERROR(__xludf.DUMMYFUNCTION("""COMPUTED_VALUE"""),"fas fa-star search star-rating")</f>
        <v>fas fa-star search star-rating</v>
      </c>
      <c r="D41" s="5"/>
      <c r="F41" s="9"/>
      <c r="H41" s="6"/>
      <c r="I41" s="3"/>
    </row>
    <row r="42">
      <c r="A42" s="6" t="str">
        <f>IFERROR(__xludf.DUMMYFUNCTION("""COMPUTED_VALUE"""),"fas fa-star search star-rating")</f>
        <v>fas fa-star search star-rating</v>
      </c>
      <c r="B42" s="6"/>
      <c r="C42" s="6"/>
      <c r="D42" s="13"/>
      <c r="E42" s="6"/>
      <c r="F42" s="6"/>
      <c r="H42" s="6"/>
      <c r="I42" s="3"/>
    </row>
    <row r="43">
      <c r="A43" s="6" t="str">
        <f>IFERROR(__xludf.DUMMYFUNCTION("""COMPUTED_VALUE"""),"fas fa-star search star-rating")</f>
        <v>fas fa-star search star-rating</v>
      </c>
      <c r="D43" s="5"/>
      <c r="F43" s="9"/>
      <c r="H43" s="6"/>
      <c r="I43" s="3"/>
    </row>
    <row r="44">
      <c r="A44" s="4" t="str">
        <f>IFERROR(__xludf.DUMMYFUNCTION("""COMPUTED_VALUE"""),"https://www.restomontreal.ca/resto/le-nil-bleu-montreal/1427/en/")</f>
        <v>https://www.restomontreal.ca/resto/le-nil-bleu-montreal/1427/en/</v>
      </c>
      <c r="B44" s="6"/>
      <c r="C44" s="6"/>
      <c r="D44" s="13"/>
      <c r="E44" s="6"/>
      <c r="F44" s="6"/>
      <c r="H44" s="6"/>
      <c r="I44" s="3"/>
    </row>
    <row r="45">
      <c r="A45" s="7" t="str">
        <f>IFERROR(__xludf.DUMMYFUNCTION("""COMPUTED_VALUE""")," Le Nil Bleu ")</f>
        <v> Le Nil Bleu </v>
      </c>
      <c r="B45" s="8" t="str">
        <f>IFERROR(__xludf.DUMMYFUNCTION("IMPORTXML(A44,'URLs and Paths'!$B$4)"),"Loading...")</f>
        <v>Loading...</v>
      </c>
      <c r="C45" s="8" t="str">
        <f>IFS(B45="$", 10,
  B45="$$", 25,
  B45="$$$", 37.5,
  B45="$ &amp; $$", 17.5,
  B45="$ &amp; $$$", 23.75,
  B45="$$ &amp; $$$", 31.25
)</f>
        <v>Loading...</v>
      </c>
      <c r="D45" s="5" t="str">
        <f>IFERROR(__xludf.DUMMYFUNCTION("IMPORTXML(A44,'URLs and Paths'!$B$5)"),"Loading...")</f>
        <v>Loading...</v>
      </c>
      <c r="E45" s="8" t="str">
        <f>IFERROR(__xludf.DUMMYFUNCTION("IMPORTXML(A44,'URLs and Paths'!$B$6)"),"Loading...")</f>
        <v>Loading...</v>
      </c>
      <c r="F45" s="9" t="str">
        <f>IFERROR(__xludf.DUMMYFUNCTION("IMAGE(IMPORTXML(A44,'URLs and Paths'!$B$7))"),"Loading...")</f>
        <v>Loading...</v>
      </c>
      <c r="G45" s="10" t="str">
        <f>TEXTJOIN(",",TRUE,A46:A50)</f>
        <v>fas fa-star search star-rating,fas fa-star search star-rating,fas fa-star search star-rating,fas fa-star search star-rating,fas fa-star search star-rating</v>
      </c>
      <c r="H45" s="6">
        <f>IFS(G45 = 'URLs and Paths'!$D$3,5, 
G45='URLs and Paths'!$D$4, 4.5,
G45='URLs and Paths'!$D$5, 4,
G45='URLs and Paths'!$D$6, 3.5,
G45='URLs and Paths'!$D$7, 3,
G45='URLs and Paths'!$D$8, 2.5,
G45='URLs and Paths'!$D$9, 2,
G45='URLs and Paths'!$D$10, 1.5,
G45='URLs and Paths'!$D$11, 1)</f>
        <v>5</v>
      </c>
      <c r="I45" s="3"/>
    </row>
    <row r="46">
      <c r="A46" s="6" t="str">
        <f>IFERROR(__xludf.DUMMYFUNCTION("""COMPUTED_VALUE"""),"fas fa-star search star-rating")</f>
        <v>fas fa-star search star-rating</v>
      </c>
      <c r="B46" s="6"/>
      <c r="C46" s="6"/>
      <c r="D46" s="13"/>
      <c r="E46" s="6"/>
      <c r="F46" s="6"/>
      <c r="H46" s="6"/>
      <c r="I46" s="3"/>
    </row>
    <row r="47">
      <c r="A47" s="6" t="str">
        <f>IFERROR(__xludf.DUMMYFUNCTION("""COMPUTED_VALUE"""),"fas fa-star search star-rating")</f>
        <v>fas fa-star search star-rating</v>
      </c>
      <c r="D47" s="5"/>
      <c r="F47" s="9"/>
      <c r="H47" s="6"/>
      <c r="I47" s="3"/>
    </row>
    <row r="48">
      <c r="A48" s="6" t="str">
        <f>IFERROR(__xludf.DUMMYFUNCTION("""COMPUTED_VALUE"""),"fas fa-star search star-rating")</f>
        <v>fas fa-star search star-rating</v>
      </c>
      <c r="B48" s="6"/>
      <c r="C48" s="6"/>
      <c r="D48" s="13"/>
      <c r="E48" s="6"/>
      <c r="F48" s="6"/>
      <c r="H48" s="6"/>
      <c r="I48" s="3"/>
    </row>
    <row r="49">
      <c r="A49" s="6" t="str">
        <f>IFERROR(__xludf.DUMMYFUNCTION("""COMPUTED_VALUE"""),"fas fa-star search star-rating")</f>
        <v>fas fa-star search star-rating</v>
      </c>
      <c r="D49" s="5"/>
      <c r="F49" s="9"/>
      <c r="H49" s="6"/>
      <c r="I49" s="3"/>
    </row>
    <row r="50">
      <c r="A50" s="6" t="str">
        <f>IFERROR(__xludf.DUMMYFUNCTION("""COMPUTED_VALUE"""),"fas fa-star search star-rating")</f>
        <v>fas fa-star search star-rating</v>
      </c>
      <c r="B50" s="6"/>
      <c r="D50" s="13"/>
      <c r="E50" s="6"/>
      <c r="F50" s="6"/>
      <c r="H50" s="6"/>
      <c r="I50" s="3"/>
    </row>
    <row r="51">
      <c r="A51" s="4" t="str">
        <f>IFERROR(__xludf.DUMMYFUNCTION("""COMPUTED_VALUE"""),"https://www.restomontreal.ca/resto/aiko-sushi-montreal/4362/en/")</f>
        <v>https://www.restomontreal.ca/resto/aiko-sushi-montreal/4362/en/</v>
      </c>
      <c r="D51" s="5"/>
      <c r="F51" s="9"/>
      <c r="H51" s="6"/>
      <c r="I51" s="3"/>
    </row>
    <row r="52">
      <c r="A52" s="7" t="str">
        <f>IFERROR(__xludf.DUMMYFUNCTION("""COMPUTED_VALUE""")," Aiko Sushi ")</f>
        <v> Aiko Sushi </v>
      </c>
      <c r="B52" s="8" t="str">
        <f>IFERROR(__xludf.DUMMYFUNCTION("IMPORTXML(A51,'URLs and Paths'!$B$4)"),"$")</f>
        <v>$</v>
      </c>
      <c r="C52" s="8">
        <f>IFS(B52="$", 10,
  B52="$$", 25,
  B52="$$$", 37.5,
  B52="$ &amp; $$", 17.5,
  B52="$ &amp; $$$", 23.75,
  B52="$$ &amp; $$$", 31.25
)</f>
        <v>10</v>
      </c>
      <c r="D52" s="5" t="str">
        <f>IFERROR(__xludf.DUMMYFUNCTION("IMPORTXML(A51,'URLs and Paths'!$B$5)"),"  Master Card, Visa, Interac")</f>
        <v>  Master Card, Visa, Interac</v>
      </c>
      <c r="E52" s="8" t="str">
        <f>IFERROR(__xludf.DUMMYFUNCTION("IMPORTXML(A51,'URLs and Paths'!$B$6)"),"1680 Avenue du Mont-Royal E, Montreal, H2J 1Z5")</f>
        <v>1680 Avenue du Mont-Royal E, Montreal, H2J 1Z5</v>
      </c>
      <c r="F52" s="9" t="str">
        <f>IFERROR(__xludf.DUMMYFUNCTION("IMAGE(IMPORTXML(A51,'URLs and Paths'!$B$7))"),"")</f>
        <v/>
      </c>
      <c r="G52" s="10" t="str">
        <f>TEXTJOIN(",",TRUE,A53:A57)</f>
        <v>fas fa-star search star-rating,fas fa-star search star-rating,fas fa-star search star-rating,fas fa-star search star-rating,fas fa-star-half search star-rating</v>
      </c>
      <c r="H52" s="6">
        <f>IFS(G52 = 'URLs and Paths'!$D$3,5, 
G52='URLs and Paths'!$D$4, 4.5,
G52='URLs and Paths'!$D$5, 4,
G52='URLs and Paths'!$D$6, 3.5,
G52='URLs and Paths'!$D$7, 3,
G52='URLs and Paths'!$D$8, 2.5,
G52='URLs and Paths'!$D$9, 2,
G52='URLs and Paths'!$D$10, 1.5,
G52='URLs and Paths'!$D$11, 1)</f>
        <v>4.5</v>
      </c>
      <c r="I52" s="3"/>
    </row>
    <row r="53">
      <c r="A53" s="6" t="str">
        <f>IFERROR(__xludf.DUMMYFUNCTION("""COMPUTED_VALUE"""),"fas fa-star search star-rating")</f>
        <v>fas fa-star search star-rating</v>
      </c>
      <c r="D53" s="5"/>
      <c r="F53" s="9"/>
      <c r="H53" s="6"/>
      <c r="I53" s="3"/>
    </row>
    <row r="54">
      <c r="A54" s="6" t="str">
        <f>IFERROR(__xludf.DUMMYFUNCTION("""COMPUTED_VALUE"""),"fas fa-star search star-rating")</f>
        <v>fas fa-star search star-rating</v>
      </c>
      <c r="B54" s="6"/>
      <c r="C54" s="6"/>
      <c r="D54" s="14"/>
      <c r="E54" s="6"/>
      <c r="F54" s="6"/>
      <c r="H54" s="6"/>
      <c r="I54" s="3"/>
    </row>
    <row r="55">
      <c r="A55" s="6" t="str">
        <f>IFERROR(__xludf.DUMMYFUNCTION("""COMPUTED_VALUE"""),"fas fa-star search star-rating")</f>
        <v>fas fa-star search star-rating</v>
      </c>
      <c r="D55" s="5"/>
      <c r="F55" s="9"/>
      <c r="H55" s="6"/>
      <c r="I55" s="3"/>
    </row>
    <row r="56">
      <c r="A56" s="6" t="str">
        <f>IFERROR(__xludf.DUMMYFUNCTION("""COMPUTED_VALUE"""),"fas fa-star search star-rating")</f>
        <v>fas fa-star search star-rating</v>
      </c>
      <c r="B56" s="6"/>
      <c r="C56" s="6"/>
      <c r="D56" s="13"/>
      <c r="E56" s="6"/>
      <c r="F56" s="6"/>
      <c r="H56" s="6"/>
      <c r="I56" s="3"/>
    </row>
    <row r="57">
      <c r="A57" s="6" t="str">
        <f>IFERROR(__xludf.DUMMYFUNCTION("""COMPUTED_VALUE"""),"fas fa-star-half search star-rating")</f>
        <v>fas fa-star-half search star-rating</v>
      </c>
      <c r="D57" s="5"/>
      <c r="F57" s="9"/>
      <c r="H57" s="6"/>
      <c r="I57" s="3"/>
    </row>
    <row r="58">
      <c r="A58" s="4" t="str">
        <f>IFERROR(__xludf.DUMMYFUNCTION("""COMPUTED_VALUE"""),"https://www.restomontreal.ca/resto/comptoir-barranco-cafe-sandwicherie-montreal/15035/en/")</f>
        <v>https://www.restomontreal.ca/resto/comptoir-barranco-cafe-sandwicherie-montreal/15035/en/</v>
      </c>
      <c r="B58" s="6"/>
      <c r="C58" s="6"/>
      <c r="D58" s="13"/>
      <c r="E58" s="6"/>
      <c r="F58" s="6"/>
      <c r="H58" s="6"/>
      <c r="I58" s="3"/>
    </row>
    <row r="59">
      <c r="A59" s="7" t="str">
        <f>IFERROR(__xludf.DUMMYFUNCTION("""COMPUTED_VALUE""")," Comptoir Barranco Café Sandwicherie ")</f>
        <v> Comptoir Barranco Café Sandwicherie </v>
      </c>
      <c r="B59" s="8" t="str">
        <f>IFERROR(__xludf.DUMMYFUNCTION("IMPORTXML(A58,'URLs and Paths'!$B$4)"),"Loading...")</f>
        <v>Loading...</v>
      </c>
      <c r="C59" s="8" t="str">
        <f>IFS(B59="$", 10,
  B59="$$", 25,
  B59="$$$", 37.5,
  B59="$ &amp; $$", 17.5,
  B59="$ &amp; $$$", 23.75,
  B59="$$ &amp; $$$", 31.25
)</f>
        <v>Loading...</v>
      </c>
      <c r="D59" s="5" t="str">
        <f>IFERROR(__xludf.DUMMYFUNCTION("IMPORTXML(A58,'URLs and Paths'!$B$5)"),"Loading...")</f>
        <v>Loading...</v>
      </c>
      <c r="E59" s="8" t="str">
        <f>IFERROR(__xludf.DUMMYFUNCTION("IMPORTXML(A58,'URLs and Paths'!$B$6)"),"Loading...")</f>
        <v>Loading...</v>
      </c>
      <c r="F59" s="9" t="str">
        <f>IFERROR(__xludf.DUMMYFUNCTION("IMAGE(IMPORTXML(A58,'URLs and Paths'!$B$7))"),"Loading...")</f>
        <v>Loading...</v>
      </c>
      <c r="G59" s="10" t="str">
        <f>TEXTJOIN(",",TRUE,A60:A64)</f>
        <v>fas fa-star search star-rating,fas fa-star search star-rating,fas fa-star search star-rating,fas fa-star search star-rating,fas fa-star search star-rating</v>
      </c>
      <c r="H59" s="6">
        <f>IFS(G59 = 'URLs and Paths'!$D$3,5, 
G59='URLs and Paths'!$D$4, 4.5,
G59='URLs and Paths'!$D$5, 4,
G59='URLs and Paths'!$D$6, 3.5,
G59='URLs and Paths'!$D$7, 3,
G59='URLs and Paths'!$D$8, 2.5,
G59='URLs and Paths'!$D$9, 2,
G59='URLs and Paths'!$D$10, 1.5,
G59='URLs and Paths'!$D$11, 1)</f>
        <v>5</v>
      </c>
      <c r="I59" s="3"/>
    </row>
    <row r="60">
      <c r="A60" s="6" t="str">
        <f>IFERROR(__xludf.DUMMYFUNCTION("""COMPUTED_VALUE"""),"fas fa-star search star-rating")</f>
        <v>fas fa-star search star-rating</v>
      </c>
      <c r="B60" s="6"/>
      <c r="C60" s="6"/>
      <c r="D60" s="13"/>
      <c r="E60" s="6"/>
      <c r="F60" s="6"/>
      <c r="H60" s="6"/>
      <c r="I60" s="3"/>
    </row>
    <row r="61">
      <c r="A61" s="6" t="str">
        <f>IFERROR(__xludf.DUMMYFUNCTION("""COMPUTED_VALUE"""),"fas fa-star search star-rating")</f>
        <v>fas fa-star search star-rating</v>
      </c>
      <c r="D61" s="5"/>
      <c r="F61" s="9"/>
      <c r="H61" s="6"/>
      <c r="I61" s="3"/>
    </row>
    <row r="62">
      <c r="A62" s="6" t="str">
        <f>IFERROR(__xludf.DUMMYFUNCTION("""COMPUTED_VALUE"""),"fas fa-star search star-rating")</f>
        <v>fas fa-star search star-rating</v>
      </c>
      <c r="B62" s="6"/>
      <c r="C62" s="6"/>
      <c r="D62" s="13"/>
      <c r="E62" s="6"/>
      <c r="F62" s="6"/>
      <c r="H62" s="6"/>
      <c r="I62" s="3"/>
    </row>
    <row r="63">
      <c r="A63" s="6" t="str">
        <f>IFERROR(__xludf.DUMMYFUNCTION("""COMPUTED_VALUE"""),"fas fa-star search star-rating")</f>
        <v>fas fa-star search star-rating</v>
      </c>
      <c r="D63" s="5"/>
      <c r="F63" s="9"/>
      <c r="H63" s="6"/>
      <c r="I63" s="3"/>
    </row>
    <row r="64">
      <c r="A64" s="6" t="str">
        <f>IFERROR(__xludf.DUMMYFUNCTION("""COMPUTED_VALUE"""),"fas fa-star search star-rating")</f>
        <v>fas fa-star search star-rating</v>
      </c>
      <c r="B64" s="6"/>
      <c r="C64" s="6"/>
      <c r="D64" s="13"/>
      <c r="F64" s="6"/>
      <c r="H64" s="6"/>
      <c r="I64" s="3"/>
    </row>
    <row r="65">
      <c r="A65" s="4" t="str">
        <f>IFERROR(__xludf.DUMMYFUNCTION("""COMPUTED_VALUE"""),"https://www.restomontreal.ca/resto/amber-montreal/14101/en/")</f>
        <v>https://www.restomontreal.ca/resto/amber-montreal/14101/en/</v>
      </c>
      <c r="D65" s="5"/>
      <c r="F65" s="9"/>
      <c r="H65" s="6"/>
      <c r="I65" s="3"/>
    </row>
    <row r="66">
      <c r="A66" s="7" t="str">
        <f>IFERROR(__xludf.DUMMYFUNCTION("""COMPUTED_VALUE""")," Amber ")</f>
        <v> Amber </v>
      </c>
      <c r="B66" s="8" t="str">
        <f>IFERROR(__xludf.DUMMYFUNCTION("IMPORTXML(A65,'URLs and Paths'!$B$4)"),"Loading...")</f>
        <v>Loading...</v>
      </c>
      <c r="C66" s="8" t="str">
        <f>IFS(B66="$", 10,
  B66="$$", 25,
  B66="$$$", 37.5,
  B66="$ &amp; $$", 17.5,
  B66="$ &amp; $$$", 23.75,
  B66="$$ &amp; $$$", 31.25
)</f>
        <v>Loading...</v>
      </c>
      <c r="D66" s="5" t="str">
        <f>IFERROR(__xludf.DUMMYFUNCTION("IMPORTXML(A65,'URLs and Paths'!$B$5)"),"Loading...")</f>
        <v>Loading...</v>
      </c>
      <c r="E66" s="8" t="str">
        <f>IFERROR(__xludf.DUMMYFUNCTION("IMPORTXML(A65,'URLs and Paths'!$B$6)"),"Loading...")</f>
        <v>Loading...</v>
      </c>
      <c r="F66" s="9" t="str">
        <f>IFERROR(__xludf.DUMMYFUNCTION("IMAGE(IMPORTXML(A65,'URLs and Paths'!$B$7))"),"Loading...")</f>
        <v>Loading...</v>
      </c>
      <c r="G66" s="10" t="str">
        <f>TEXTJOIN(",",TRUE,A67:A71)</f>
        <v>fas fa-star search star-rating,fas fa-star search star-rating,fas fa-star search star-rating,fas fa-star search star-rating,fas fa-star search star-rating</v>
      </c>
      <c r="H66" s="6">
        <f>IFS(G66 = 'URLs and Paths'!$D$3,5, 
G66='URLs and Paths'!$D$4, 4.5,
G66='URLs and Paths'!$D$5, 4,
G66='URLs and Paths'!$D$6, 3.5,
G66='URLs and Paths'!$D$7, 3,
G66='URLs and Paths'!$D$8, 2.5,
G66='URLs and Paths'!$D$9, 2,
G66='URLs and Paths'!$D$10, 1.5,
G66='URLs and Paths'!$D$11, 1)</f>
        <v>5</v>
      </c>
      <c r="I66" s="3"/>
    </row>
    <row r="67">
      <c r="A67" s="6" t="str">
        <f>IFERROR(__xludf.DUMMYFUNCTION("""COMPUTED_VALUE"""),"fas fa-star search star-rating")</f>
        <v>fas fa-star search star-rating</v>
      </c>
      <c r="D67" s="5"/>
      <c r="F67" s="9"/>
      <c r="H67" s="6"/>
      <c r="I67" s="3"/>
    </row>
    <row r="68">
      <c r="A68" s="6" t="str">
        <f>IFERROR(__xludf.DUMMYFUNCTION("""COMPUTED_VALUE"""),"fas fa-star search star-rating")</f>
        <v>fas fa-star search star-rating</v>
      </c>
      <c r="B68" s="6"/>
      <c r="C68" s="6"/>
      <c r="D68" s="13"/>
      <c r="E68" s="6"/>
      <c r="F68" s="6"/>
      <c r="H68" s="6"/>
      <c r="I68" s="3"/>
    </row>
    <row r="69">
      <c r="A69" s="6" t="str">
        <f>IFERROR(__xludf.DUMMYFUNCTION("""COMPUTED_VALUE"""),"fas fa-star search star-rating")</f>
        <v>fas fa-star search star-rating</v>
      </c>
      <c r="D69" s="5"/>
      <c r="F69" s="9"/>
      <c r="H69" s="6"/>
      <c r="I69" s="3"/>
    </row>
    <row r="70">
      <c r="A70" s="6" t="str">
        <f>IFERROR(__xludf.DUMMYFUNCTION("""COMPUTED_VALUE"""),"fas fa-star search star-rating")</f>
        <v>fas fa-star search star-rating</v>
      </c>
      <c r="B70" s="6"/>
      <c r="C70" s="6"/>
      <c r="D70" s="13"/>
      <c r="E70" s="6"/>
      <c r="F70" s="6"/>
      <c r="H70" s="6"/>
      <c r="I70" s="3"/>
    </row>
    <row r="71">
      <c r="A71" s="6" t="str">
        <f>IFERROR(__xludf.DUMMYFUNCTION("""COMPUTED_VALUE"""),"fas fa-star search star-rating")</f>
        <v>fas fa-star search star-rating</v>
      </c>
      <c r="D71" s="5"/>
      <c r="F71" s="9"/>
      <c r="H71" s="6"/>
      <c r="I71" s="3"/>
    </row>
    <row r="72">
      <c r="A72" s="4" t="str">
        <f>IFERROR(__xludf.DUMMYFUNCTION("""COMPUTED_VALUE"""),"https://www.restomontreal.ca/resto/la-maison-grecque-montreal/1288/en/")</f>
        <v>https://www.restomontreal.ca/resto/la-maison-grecque-montreal/1288/en/</v>
      </c>
      <c r="B72" s="6"/>
      <c r="C72" s="6"/>
      <c r="D72" s="13"/>
      <c r="E72" s="6"/>
      <c r="F72" s="6"/>
      <c r="H72" s="6"/>
      <c r="I72" s="3"/>
    </row>
    <row r="73">
      <c r="A73" s="7" t="str">
        <f>IFERROR(__xludf.DUMMYFUNCTION("""COMPUTED_VALUE""")," La Maison Grecque ")</f>
        <v> La Maison Grecque </v>
      </c>
      <c r="B73" s="8" t="str">
        <f>IFERROR(__xludf.DUMMYFUNCTION("IMPORTXML(A72,'URLs and Paths'!$B$4)"),"Loading...")</f>
        <v>Loading...</v>
      </c>
      <c r="C73" s="8" t="str">
        <f>IFS(B73="$", 10,
  B73="$$", 25,
  B73="$$$", 37.5,
  B73="$ &amp; $$", 17.5,
  B73="$ &amp; $$$", 23.75,
  B73="$$ &amp; $$$", 31.25
)</f>
        <v>Loading...</v>
      </c>
      <c r="D73" s="5" t="str">
        <f>IFERROR(__xludf.DUMMYFUNCTION("IMPORTXML(A72,'URLs and Paths'!$B$5)"),"Loading...")</f>
        <v>Loading...</v>
      </c>
      <c r="E73" s="8" t="str">
        <f>IFERROR(__xludf.DUMMYFUNCTION("IMPORTXML(A72,'URLs and Paths'!$B$6)"),"Loading...")</f>
        <v>Loading...</v>
      </c>
      <c r="F73" s="9" t="str">
        <f>IFERROR(__xludf.DUMMYFUNCTION("IMAGE(IMPORTXML(A72,'URLs and Paths'!$B$7))"),"Loading...")</f>
        <v>Loading...</v>
      </c>
      <c r="G73" s="10" t="str">
        <f>TEXTJOIN(",",TRUE,A74:A78)</f>
        <v>fas fa-star search star-rating,fas fa-star search star-rating,fas fa-star search star-rating,fas fa-star search star-rating,fas fa-star-half search star-rating</v>
      </c>
      <c r="H73" s="6">
        <f>IFS(G73 = 'URLs and Paths'!$D$3,5, 
G73='URLs and Paths'!$D$4, 4.5,
G73='URLs and Paths'!$D$5, 4,
G73='URLs and Paths'!$D$6, 3.5,
G73='URLs and Paths'!$D$7, 3,
G73='URLs and Paths'!$D$8, 2.5,
G73='URLs and Paths'!$D$9, 2,
G73='URLs and Paths'!$D$10, 1.5,
G73='URLs and Paths'!$D$11, 1)</f>
        <v>4.5</v>
      </c>
      <c r="I73" s="3"/>
    </row>
    <row r="74">
      <c r="A74" s="6" t="str">
        <f>IFERROR(__xludf.DUMMYFUNCTION("""COMPUTED_VALUE"""),"fas fa-star search star-rating")</f>
        <v>fas fa-star search star-rating</v>
      </c>
      <c r="B74" s="6"/>
      <c r="C74" s="6"/>
      <c r="D74" s="13"/>
      <c r="E74" s="6"/>
      <c r="F74" s="6"/>
      <c r="H74" s="6"/>
      <c r="I74" s="3"/>
    </row>
    <row r="75">
      <c r="A75" s="6" t="str">
        <f>IFERROR(__xludf.DUMMYFUNCTION("""COMPUTED_VALUE"""),"fas fa-star search star-rating")</f>
        <v>fas fa-star search star-rating</v>
      </c>
      <c r="D75" s="5"/>
      <c r="F75" s="9"/>
      <c r="H75" s="6"/>
      <c r="I75" s="3"/>
    </row>
    <row r="76">
      <c r="A76" s="6" t="str">
        <f>IFERROR(__xludf.DUMMYFUNCTION("""COMPUTED_VALUE"""),"fas fa-star search star-rating")</f>
        <v>fas fa-star search star-rating</v>
      </c>
      <c r="B76" s="6"/>
      <c r="C76" s="6"/>
      <c r="D76" s="13"/>
      <c r="E76" s="6"/>
      <c r="F76" s="6"/>
      <c r="H76" s="6"/>
      <c r="I76" s="3"/>
    </row>
    <row r="77">
      <c r="A77" s="6" t="str">
        <f>IFERROR(__xludf.DUMMYFUNCTION("""COMPUTED_VALUE"""),"fas fa-star search star-rating")</f>
        <v>fas fa-star search star-rating</v>
      </c>
      <c r="D77" s="5"/>
      <c r="F77" s="9"/>
      <c r="H77" s="6"/>
      <c r="I77" s="3"/>
    </row>
    <row r="78">
      <c r="A78" s="6" t="str">
        <f>IFERROR(__xludf.DUMMYFUNCTION("""COMPUTED_VALUE"""),"fas fa-star-half search star-rating")</f>
        <v>fas fa-star-half search star-rating</v>
      </c>
      <c r="B78" s="6"/>
      <c r="C78" s="6"/>
      <c r="D78" s="13"/>
      <c r="E78" s="6"/>
      <c r="F78" s="6"/>
      <c r="H78" s="6"/>
      <c r="I78" s="3"/>
    </row>
    <row r="79">
      <c r="A79" s="4" t="str">
        <f>IFERROR(__xludf.DUMMYFUNCTION("""COMPUTED_VALUE"""),"https://www.restomontreal.ca/resto/panuozzo-montreal/14632/en/")</f>
        <v>https://www.restomontreal.ca/resto/panuozzo-montreal/14632/en/</v>
      </c>
      <c r="D79" s="5"/>
      <c r="F79" s="9"/>
      <c r="H79" s="6"/>
      <c r="I79" s="3"/>
    </row>
    <row r="80">
      <c r="A80" s="7" t="str">
        <f>IFERROR(__xludf.DUMMYFUNCTION("""COMPUTED_VALUE""")," Panuozzo ")</f>
        <v> Panuozzo </v>
      </c>
      <c r="B80" s="8" t="str">
        <f>IFERROR(__xludf.DUMMYFUNCTION("IMPORTXML(A79,'URLs and Paths'!$B$4)"),"$ &amp; $$")</f>
        <v>$ &amp; $$</v>
      </c>
      <c r="C80" s="8">
        <f>IFS(B80="$", 10,
  B80="$$", 25,
  B80="$$$", 37.5,
  B80="$ &amp; $$", 17.5,
  B80="$ &amp; $$$", 23.75,
  B80="$$ &amp; $$$", 31.25
)</f>
        <v>17.5</v>
      </c>
      <c r="D80" s="5" t="str">
        <f>IFERROR(__xludf.DUMMYFUNCTION("IMPORTXML(A79,'URLs and Paths'!$B$5)"),"  Master Card, Visa, AMEX, Interac")</f>
        <v>  Master Card, Visa, AMEX, Interac</v>
      </c>
      <c r="E80" s="8" t="str">
        <f>IFERROR(__xludf.DUMMYFUNCTION("IMPORTXML(A79,'URLs and Paths'!$B$6)"),"3820 Boulevard St-Laurent, Montreal, H2W 1X6")</f>
        <v>3820 Boulevard St-Laurent, Montreal, H2W 1X6</v>
      </c>
      <c r="F80" s="9" t="str">
        <f>IFERROR(__xludf.DUMMYFUNCTION("IMAGE(IMPORTXML(A79,'URLs and Paths'!$B$7))"),"")</f>
        <v/>
      </c>
      <c r="G80" s="10" t="str">
        <f>TEXTJOIN(",",TRUE,A81:A85)</f>
        <v>fas fa-star search star-rating,fas fa-star search star-rating,fas fa-star search star-rating,fas fa-star search star-rating,fas fa-star-half search star-rating</v>
      </c>
      <c r="H80" s="6">
        <f>IFS(G80 = 'URLs and Paths'!$D$3,5, 
G80='URLs and Paths'!$D$4, 4.5,
G80='URLs and Paths'!$D$5, 4,
G80='URLs and Paths'!$D$6, 3.5,
G80='URLs and Paths'!$D$7, 3,
G80='URLs and Paths'!$D$8, 2.5,
G80='URLs and Paths'!$D$9, 2,
G80='URLs and Paths'!$D$10, 1.5,
G80='URLs and Paths'!$D$11, 1)</f>
        <v>4.5</v>
      </c>
      <c r="I80" s="3"/>
    </row>
    <row r="81">
      <c r="A81" s="6" t="str">
        <f>IFERROR(__xludf.DUMMYFUNCTION("""COMPUTED_VALUE"""),"fas fa-star search star-rating")</f>
        <v>fas fa-star search star-rating</v>
      </c>
      <c r="D81" s="5"/>
      <c r="F81" s="9"/>
      <c r="H81" s="6"/>
      <c r="I81" s="3"/>
    </row>
    <row r="82">
      <c r="A82" s="6" t="str">
        <f>IFERROR(__xludf.DUMMYFUNCTION("""COMPUTED_VALUE"""),"fas fa-star search star-rating")</f>
        <v>fas fa-star search star-rating</v>
      </c>
      <c r="B82" s="6"/>
      <c r="C82" s="6"/>
      <c r="D82" s="13"/>
      <c r="E82" s="6"/>
      <c r="F82" s="6"/>
      <c r="H82" s="6"/>
      <c r="I82" s="3"/>
    </row>
    <row r="83">
      <c r="A83" s="6" t="str">
        <f>IFERROR(__xludf.DUMMYFUNCTION("""COMPUTED_VALUE"""),"fas fa-star search star-rating")</f>
        <v>fas fa-star search star-rating</v>
      </c>
      <c r="D83" s="5"/>
      <c r="F83" s="9"/>
      <c r="H83" s="6"/>
      <c r="I83" s="3"/>
    </row>
    <row r="84">
      <c r="A84" s="6" t="str">
        <f>IFERROR(__xludf.DUMMYFUNCTION("""COMPUTED_VALUE"""),"fas fa-star search star-rating")</f>
        <v>fas fa-star search star-rating</v>
      </c>
      <c r="B84" s="6"/>
      <c r="C84" s="6"/>
      <c r="D84" s="13"/>
      <c r="E84" s="6"/>
      <c r="F84" s="6"/>
      <c r="H84" s="6"/>
      <c r="I84" s="3"/>
    </row>
    <row r="85">
      <c r="A85" s="6" t="str">
        <f>IFERROR(__xludf.DUMMYFUNCTION("""COMPUTED_VALUE"""),"fas fa-star-half search star-rating")</f>
        <v>fas fa-star-half search star-rating</v>
      </c>
      <c r="D85" s="5"/>
      <c r="F85" s="9"/>
      <c r="H85" s="6"/>
      <c r="I85" s="3"/>
    </row>
    <row r="86">
      <c r="A86" s="4" t="str">
        <f>IFERROR(__xludf.DUMMYFUNCTION("""COMPUTED_VALUE"""),"https://www.restomontreal.ca/resto/resto-bar-nemo-montreal/17375/en/")</f>
        <v>https://www.restomontreal.ca/resto/resto-bar-nemo-montreal/17375/en/</v>
      </c>
      <c r="B86" s="6"/>
      <c r="C86" s="6"/>
      <c r="D86" s="13"/>
      <c r="E86" s="6"/>
      <c r="F86" s="6"/>
      <c r="H86" s="6"/>
      <c r="I86" s="3"/>
    </row>
    <row r="87">
      <c r="A87" s="7" t="str">
        <f>IFERROR(__xludf.DUMMYFUNCTION("""COMPUTED_VALUE""")," Resto Bar Nemo ")</f>
        <v> Resto Bar Nemo </v>
      </c>
      <c r="B87" s="8" t="str">
        <f>IFERROR(__xludf.DUMMYFUNCTION("IMPORTXML(A86,'URLs and Paths'!$B$4)"),"$ &amp; $$")</f>
        <v>$ &amp; $$</v>
      </c>
      <c r="C87" s="8">
        <f>IFS(B87="$", 10,
  B87="$$", 25,
  B87="$$$", 37.5,
  B87="$ &amp; $$", 17.5,
  B87="$ &amp; $$$", 23.75,
  B87="$$ &amp; $$$", 31.25
)</f>
        <v>17.5</v>
      </c>
      <c r="D87" s="5" t="str">
        <f>IFERROR(__xludf.DUMMYFUNCTION("IMPORTXML(A86,'URLs and Paths'!$B$5)"),"  Master Card, Visa, AMEX, Interac, Mobile Payment, Contactless Payment")</f>
        <v>  Master Card, Visa, AMEX, Interac, Mobile Payment, Contactless Payment</v>
      </c>
      <c r="E87" s="8" t="str">
        <f>IFERROR(__xludf.DUMMYFUNCTION("IMPORTXML(A86,'URLs and Paths'!$B$6)"),"64 Rue Prince-Arthur E, Montreal, H2X 1B3")</f>
        <v>64 Rue Prince-Arthur E, Montreal, H2X 1B3</v>
      </c>
      <c r="F87" s="9" t="str">
        <f>IFERROR(__xludf.DUMMYFUNCTION("IMAGE(IMPORTXML(A86,'URLs and Paths'!$B$7))"),"")</f>
        <v/>
      </c>
      <c r="G87" s="10" t="str">
        <f>TEXTJOIN(",",TRUE,A88:A92)</f>
        <v>fas fa-star search star-rating,fas fa-star search star-rating,fas fa-star search star-rating,fas fa-star search star-rating,fas fa-star search star-rating</v>
      </c>
      <c r="H87" s="6">
        <f>IFS(G87 = 'URLs and Paths'!$D$3,5, 
G87='URLs and Paths'!$D$4, 4.5,
G87='URLs and Paths'!$D$5, 4,
G87='URLs and Paths'!$D$6, 3.5,
G87='URLs and Paths'!$D$7, 3,
G87='URLs and Paths'!$D$8, 2.5,
G87='URLs and Paths'!$D$9, 2,
G87='URLs and Paths'!$D$10, 1.5,
G87='URLs and Paths'!$D$11, 1)</f>
        <v>5</v>
      </c>
      <c r="I87" s="3"/>
    </row>
    <row r="88">
      <c r="A88" s="6" t="str">
        <f>IFERROR(__xludf.DUMMYFUNCTION("""COMPUTED_VALUE"""),"fas fa-star search star-rating")</f>
        <v>fas fa-star search star-rating</v>
      </c>
      <c r="B88" s="6"/>
      <c r="C88" s="6"/>
      <c r="D88" s="13"/>
      <c r="E88" s="6"/>
      <c r="F88" s="6"/>
      <c r="H88" s="6"/>
      <c r="I88" s="3"/>
    </row>
    <row r="89">
      <c r="A89" s="6" t="str">
        <f>IFERROR(__xludf.DUMMYFUNCTION("""COMPUTED_VALUE"""),"fas fa-star search star-rating")</f>
        <v>fas fa-star search star-rating</v>
      </c>
      <c r="D89" s="5"/>
      <c r="F89" s="9"/>
      <c r="H89" s="6"/>
      <c r="I89" s="3"/>
    </row>
    <row r="90">
      <c r="A90" s="6" t="str">
        <f>IFERROR(__xludf.DUMMYFUNCTION("""COMPUTED_VALUE"""),"fas fa-star search star-rating")</f>
        <v>fas fa-star search star-rating</v>
      </c>
      <c r="B90" s="6"/>
      <c r="C90" s="6"/>
      <c r="D90" s="13"/>
      <c r="E90" s="6"/>
      <c r="F90" s="6"/>
      <c r="H90" s="6"/>
      <c r="I90" s="3"/>
    </row>
    <row r="91">
      <c r="A91" s="6" t="str">
        <f>IFERROR(__xludf.DUMMYFUNCTION("""COMPUTED_VALUE"""),"fas fa-star search star-rating")</f>
        <v>fas fa-star search star-rating</v>
      </c>
      <c r="D91" s="5"/>
      <c r="F91" s="9"/>
      <c r="H91" s="6"/>
      <c r="I91" s="3"/>
    </row>
    <row r="92">
      <c r="A92" s="6" t="str">
        <f>IFERROR(__xludf.DUMMYFUNCTION("""COMPUTED_VALUE"""),"fas fa-star search star-rating")</f>
        <v>fas fa-star search star-rating</v>
      </c>
      <c r="B92" s="6"/>
      <c r="C92" s="6"/>
      <c r="D92" s="13"/>
      <c r="E92" s="6"/>
      <c r="F92" s="6"/>
      <c r="H92" s="6"/>
      <c r="I92" s="3"/>
    </row>
    <row r="93">
      <c r="A93" s="4" t="str">
        <f>IFERROR(__xludf.DUMMYFUNCTION("""COMPUTED_VALUE"""),"https://www.restomontreal.ca/resto/thailande-montreal/1741/en/")</f>
        <v>https://www.restomontreal.ca/resto/thailande-montreal/1741/en/</v>
      </c>
      <c r="D93" s="5"/>
      <c r="F93" s="9"/>
      <c r="H93" s="6"/>
      <c r="I93" s="3"/>
    </row>
    <row r="94">
      <c r="A94" s="7" t="str">
        <f>IFERROR(__xludf.DUMMYFUNCTION("""COMPUTED_VALUE""")," Thailande ")</f>
        <v> Thailande </v>
      </c>
      <c r="B94" s="8" t="str">
        <f>IFERROR(__xludf.DUMMYFUNCTION("IMPORTXML(A93,'URLs and Paths'!$B$4)"),"$$")</f>
        <v>$$</v>
      </c>
      <c r="C94" s="8">
        <f>IFS(B94="$", 10,
  B94="$$", 25,
  B94="$$$", 37.5,
  B94="$ &amp; $$", 17.5,
  B94="$ &amp; $$$", 23.75,
  B94="$$ &amp; $$$", 31.25
)</f>
        <v>25</v>
      </c>
      <c r="D94" s="5" t="str">
        <f>IFERROR(__xludf.DUMMYFUNCTION("IMPORTXML(A93,'URLs and Paths'!$B$5)"),"  Master Card, Visa, AMEX, Interac")</f>
        <v>  Master Card, Visa, AMEX, Interac</v>
      </c>
      <c r="E94" s="8" t="str">
        <f>IFERROR(__xludf.DUMMYFUNCTION("IMPORTXML(A93,'URLs and Paths'!$B$6)"),"88 Avenue Bernard O, Montreal, H2T 2J8")</f>
        <v>88 Avenue Bernard O, Montreal, H2T 2J8</v>
      </c>
      <c r="F94" s="9" t="str">
        <f>IFERROR(__xludf.DUMMYFUNCTION("IMAGE(IMPORTXML(A93,'URLs and Paths'!$B$7))"),"")</f>
        <v/>
      </c>
      <c r="G94" s="10" t="str">
        <f>TEXTJOIN(",",TRUE,A95:A99)</f>
        <v>fas fa-star search star-rating,fas fa-star search star-rating,fas fa-star search star-rating,fas fa-star search star-rating,fas fa-star-half search star-rating</v>
      </c>
      <c r="H94" s="6">
        <f>IFS(G94 = 'URLs and Paths'!$D$3,5, 
G94='URLs and Paths'!$D$4, 4.5,
G94='URLs and Paths'!$D$5, 4,
G94='URLs and Paths'!$D$6, 3.5,
G94='URLs and Paths'!$D$7, 3,
G94='URLs and Paths'!$D$8, 2.5,
G94='URLs and Paths'!$D$9, 2,
G94='URLs and Paths'!$D$10, 1.5,
G94='URLs and Paths'!$D$11, 1)</f>
        <v>4.5</v>
      </c>
      <c r="I94" s="3"/>
    </row>
    <row r="95">
      <c r="A95" s="6" t="str">
        <f>IFERROR(__xludf.DUMMYFUNCTION("""COMPUTED_VALUE"""),"fas fa-star search star-rating")</f>
        <v>fas fa-star search star-rating</v>
      </c>
      <c r="D95" s="5"/>
      <c r="F95" s="9"/>
      <c r="H95" s="6"/>
      <c r="I95" s="3"/>
    </row>
    <row r="96">
      <c r="A96" s="6" t="str">
        <f>IFERROR(__xludf.DUMMYFUNCTION("""COMPUTED_VALUE"""),"fas fa-star search star-rating")</f>
        <v>fas fa-star search star-rating</v>
      </c>
      <c r="B96" s="6"/>
      <c r="C96" s="6"/>
      <c r="D96" s="13"/>
      <c r="E96" s="6"/>
      <c r="F96" s="6"/>
      <c r="H96" s="6"/>
      <c r="I96" s="3"/>
    </row>
    <row r="97">
      <c r="A97" s="6" t="str">
        <f>IFERROR(__xludf.DUMMYFUNCTION("""COMPUTED_VALUE"""),"fas fa-star search star-rating")</f>
        <v>fas fa-star search star-rating</v>
      </c>
      <c r="D97" s="5"/>
      <c r="F97" s="9"/>
      <c r="H97" s="6"/>
      <c r="I97" s="3"/>
    </row>
    <row r="98">
      <c r="A98" s="6" t="str">
        <f>IFERROR(__xludf.DUMMYFUNCTION("""COMPUTED_VALUE"""),"fas fa-star search star-rating")</f>
        <v>fas fa-star search star-rating</v>
      </c>
      <c r="B98" s="6"/>
      <c r="C98" s="6"/>
      <c r="D98" s="13"/>
      <c r="E98" s="6"/>
      <c r="F98" s="6"/>
      <c r="H98" s="6"/>
      <c r="I98" s="3"/>
    </row>
    <row r="99">
      <c r="A99" s="6" t="str">
        <f>IFERROR(__xludf.DUMMYFUNCTION("""COMPUTED_VALUE"""),"fas fa-star-half search star-rating")</f>
        <v>fas fa-star-half search star-rating</v>
      </c>
      <c r="D99" s="5"/>
      <c r="F99" s="9"/>
      <c r="H99" s="6"/>
      <c r="I99" s="3"/>
    </row>
    <row r="100">
      <c r="A100" s="4" t="str">
        <f>IFERROR(__xludf.DUMMYFUNCTION("""COMPUTED_VALUE"""),"https://www.restomontreal.ca/resto/la-banquise-montreal/2499/en/")</f>
        <v>https://www.restomontreal.ca/resto/la-banquise-montreal/2499/en/</v>
      </c>
      <c r="B100" s="6"/>
      <c r="C100" s="6"/>
      <c r="D100" s="13"/>
      <c r="E100" s="6"/>
      <c r="F100" s="6"/>
      <c r="H100" s="6"/>
      <c r="I100" s="3"/>
    </row>
    <row r="101">
      <c r="A101" s="7" t="str">
        <f>IFERROR(__xludf.DUMMYFUNCTION("""COMPUTED_VALUE""")," La Banquise ")</f>
        <v> La Banquise </v>
      </c>
      <c r="B101" s="8" t="str">
        <f>IFERROR(__xludf.DUMMYFUNCTION("IMPORTXML(A100,'URLs and Paths'!$B$4)"),"$ &amp; $$")</f>
        <v>$ &amp; $$</v>
      </c>
      <c r="C101" s="8">
        <f>IFS(B101="$", 10,
  B101="$$", 25,
  B101="$$$", 37.5,
  B101="$ &amp; $$", 17.5,
  B101="$ &amp; $$$", 23.75,
  B101="$$ &amp; $$$", 31.25
)</f>
        <v>17.5</v>
      </c>
      <c r="D101" s="5" t="str">
        <f>IFERROR(__xludf.DUMMYFUNCTION("IMPORTXML(A100,'URLs and Paths'!$B$5)"),"  Interac, ATM machine")</f>
        <v>  Interac, ATM machine</v>
      </c>
      <c r="E101" s="8" t="str">
        <f>IFERROR(__xludf.DUMMYFUNCTION("IMPORTXML(A100,'URLs and Paths'!$B$6)"),"994 Rue Rachel E., Montreal, H2J 2J3")</f>
        <v>994 Rue Rachel E., Montreal, H2J 2J3</v>
      </c>
      <c r="F101" s="9" t="str">
        <f>IFERROR(__xludf.DUMMYFUNCTION("IMAGE(IMPORTXML(A100,'URLs and Paths'!$B$7))"),"")</f>
        <v/>
      </c>
      <c r="G101" s="10" t="str">
        <f>TEXTJOIN(",",TRUE,A102:A106)</f>
        <v>fas fa-star search star-rating,fas fa-star search star-rating,fas fa-star search star-rating,fas fa-star search star-rating,fas fa-star-half search star-rating</v>
      </c>
      <c r="H101" s="6">
        <f>IFS(G101 = 'URLs and Paths'!$D$3,5, 
G101='URLs and Paths'!$D$4, 4.5,
G101='URLs and Paths'!$D$5, 4,
G101='URLs and Paths'!$D$6, 3.5,
G101='URLs and Paths'!$D$7, 3,
G101='URLs and Paths'!$D$8, 2.5,
G101='URLs and Paths'!$D$9, 2,
G101='URLs and Paths'!$D$10, 1.5,
G101='URLs and Paths'!$D$11, 1)</f>
        <v>4.5</v>
      </c>
      <c r="I101" s="3"/>
    </row>
    <row r="102">
      <c r="A102" s="15" t="str">
        <f>IFERROR(__xludf.DUMMYFUNCTION("""COMPUTED_VALUE"""),"fas fa-star search star-rating")</f>
        <v>fas fa-star search star-rating</v>
      </c>
      <c r="B102" s="6"/>
      <c r="C102" s="6"/>
      <c r="D102" s="13"/>
      <c r="E102" s="6"/>
      <c r="F102" s="16"/>
      <c r="G102" s="6"/>
      <c r="H102" s="6"/>
      <c r="I102" s="3"/>
    </row>
    <row r="103">
      <c r="A103" s="15" t="str">
        <f>IFERROR(__xludf.DUMMYFUNCTION("""COMPUTED_VALUE"""),"fas fa-star search star-rating")</f>
        <v>fas fa-star search star-rating</v>
      </c>
      <c r="B103" s="6"/>
      <c r="C103" s="6"/>
      <c r="D103" s="13"/>
      <c r="E103" s="6"/>
      <c r="F103" s="16"/>
      <c r="G103" s="6"/>
      <c r="H103" s="6"/>
      <c r="I103" s="3"/>
    </row>
    <row r="104">
      <c r="A104" s="15" t="str">
        <f>IFERROR(__xludf.DUMMYFUNCTION("""COMPUTED_VALUE"""),"fas fa-star search star-rating")</f>
        <v>fas fa-star search star-rating</v>
      </c>
      <c r="B104" s="6"/>
      <c r="C104" s="6"/>
      <c r="D104" s="13"/>
      <c r="E104" s="6"/>
      <c r="F104" s="16"/>
      <c r="G104" s="6"/>
      <c r="H104" s="6"/>
      <c r="I104" s="3"/>
    </row>
    <row r="105">
      <c r="A105" s="15" t="str">
        <f>IFERROR(__xludf.DUMMYFUNCTION("""COMPUTED_VALUE"""),"fas fa-star search star-rating")</f>
        <v>fas fa-star search star-rating</v>
      </c>
      <c r="B105" s="6"/>
      <c r="C105" s="6"/>
      <c r="D105" s="13"/>
      <c r="E105" s="6"/>
      <c r="F105" s="16"/>
      <c r="G105" s="6"/>
      <c r="H105" s="6"/>
      <c r="I105" s="3"/>
    </row>
    <row r="106">
      <c r="A106" s="15" t="str">
        <f>IFERROR(__xludf.DUMMYFUNCTION("""COMPUTED_VALUE"""),"fas fa-star-half search star-rating")</f>
        <v>fas fa-star-half search star-rating</v>
      </c>
      <c r="B106" s="6"/>
      <c r="C106" s="6"/>
      <c r="D106" s="13"/>
      <c r="E106" s="6"/>
      <c r="F106" s="16"/>
      <c r="G106" s="6"/>
      <c r="H106" s="6"/>
      <c r="I106" s="3"/>
    </row>
    <row r="107">
      <c r="A107" s="4" t="str">
        <f>IFERROR(__xludf.DUMMYFUNCTION("""COMPUTED_VALUE"""),"https://www.restomontreal.ca/resto/bistro-guru-montreal/8344/en/")</f>
        <v>https://www.restomontreal.ca/resto/bistro-guru-montreal/8344/en/</v>
      </c>
      <c r="B107" s="6"/>
      <c r="C107" s="6"/>
      <c r="D107" s="13"/>
      <c r="E107" s="6"/>
      <c r="F107" s="16"/>
      <c r="G107" s="6"/>
      <c r="H107" s="6"/>
      <c r="I107" s="3"/>
    </row>
    <row r="108">
      <c r="A108" s="7" t="str">
        <f>IFERROR(__xludf.DUMMYFUNCTION("""COMPUTED_VALUE""")," Bistro GURU ")</f>
        <v> Bistro GURU </v>
      </c>
      <c r="B108" s="8" t="str">
        <f>IFERROR(__xludf.DUMMYFUNCTION("IMPORTXML(A107,'URLs and Paths'!$B$4)"),"$$ &amp; $$$")</f>
        <v>$$ &amp; $$$</v>
      </c>
      <c r="C108" s="8">
        <f>IFS(B108="$", 10,
  B108="$$", 25,
  B108="$$$", 37.5,
  B108="$ &amp; $$", 17.5,
  B108="$ &amp; $$$", 23.75,
  B108="$$ &amp; $$$", 31.25
)</f>
        <v>31.25</v>
      </c>
      <c r="D108" s="5" t="str">
        <f>IFERROR(__xludf.DUMMYFUNCTION("IMPORTXML(A107,'URLs and Paths'!$B$5)"),"  Master Card, Visa, Interac")</f>
        <v>  Master Card, Visa, Interac</v>
      </c>
      <c r="E108" s="8" t="str">
        <f>IFERROR(__xludf.DUMMYFUNCTION("IMPORTXML(A107,'URLs and Paths'!$B$6)"),"3464 Rue Saint-Denis, Montreal, H2X 3L3")</f>
        <v>3464 Rue Saint-Denis, Montreal, H2X 3L3</v>
      </c>
      <c r="F108" s="9" t="str">
        <f>IFERROR(__xludf.DUMMYFUNCTION("IMAGE(IMPORTXML(A107,'URLs and Paths'!$B$7))"),"")</f>
        <v/>
      </c>
      <c r="G108" s="10" t="str">
        <f>TEXTJOIN(",",TRUE,A109:A113)</f>
        <v>fas fa-star search star-rating,fas fa-star search star-rating,fas fa-star search star-rating,fas fa-star search star-rating,fas fa-star search star-rating</v>
      </c>
      <c r="H108" s="6">
        <f>IFS(G108 = 'URLs and Paths'!$D$3,5, 
G108='URLs and Paths'!$D$4, 4.5,
G108='URLs and Paths'!$D$5, 4,
G108='URLs and Paths'!$D$6, 3.5,
G108='URLs and Paths'!$D$7, 3,
G108='URLs and Paths'!$D$8, 2.5,
G108='URLs and Paths'!$D$9, 2,
G108='URLs and Paths'!$D$10, 1.5,
G108='URLs and Paths'!$D$11, 1)</f>
        <v>5</v>
      </c>
      <c r="I108" s="3"/>
    </row>
    <row r="109">
      <c r="A109" s="15" t="str">
        <f>IFERROR(__xludf.DUMMYFUNCTION("""COMPUTED_VALUE"""),"fas fa-star search star-rating")</f>
        <v>fas fa-star search star-rating</v>
      </c>
      <c r="B109" s="6"/>
      <c r="C109" s="6"/>
      <c r="D109" s="13"/>
      <c r="E109" s="6"/>
      <c r="F109" s="16"/>
      <c r="G109" s="6"/>
      <c r="H109" s="6"/>
      <c r="I109" s="3"/>
    </row>
    <row r="110">
      <c r="A110" s="15" t="str">
        <f>IFERROR(__xludf.DUMMYFUNCTION("""COMPUTED_VALUE"""),"fas fa-star search star-rating")</f>
        <v>fas fa-star search star-rating</v>
      </c>
      <c r="B110" s="6"/>
      <c r="C110" s="6"/>
      <c r="D110" s="13"/>
      <c r="E110" s="6"/>
      <c r="F110" s="16"/>
      <c r="G110" s="6"/>
      <c r="H110" s="6"/>
      <c r="I110" s="3"/>
    </row>
    <row r="111">
      <c r="A111" s="15" t="str">
        <f>IFERROR(__xludf.DUMMYFUNCTION("""COMPUTED_VALUE"""),"fas fa-star search star-rating")</f>
        <v>fas fa-star search star-rating</v>
      </c>
      <c r="B111" s="6"/>
      <c r="C111" s="6"/>
      <c r="D111" s="13"/>
      <c r="E111" s="6"/>
      <c r="F111" s="16"/>
      <c r="G111" s="6"/>
      <c r="H111" s="6"/>
      <c r="I111" s="3"/>
    </row>
    <row r="112">
      <c r="A112" s="15" t="str">
        <f>IFERROR(__xludf.DUMMYFUNCTION("""COMPUTED_VALUE"""),"fas fa-star search star-rating")</f>
        <v>fas fa-star search star-rating</v>
      </c>
      <c r="B112" s="6"/>
      <c r="C112" s="6"/>
      <c r="D112" s="13"/>
      <c r="E112" s="6"/>
      <c r="F112" s="16"/>
      <c r="G112" s="6"/>
      <c r="H112" s="6"/>
      <c r="I112" s="3"/>
    </row>
    <row r="113">
      <c r="A113" s="15" t="str">
        <f>IFERROR(__xludf.DUMMYFUNCTION("""COMPUTED_VALUE"""),"fas fa-star search star-rating")</f>
        <v>fas fa-star search star-rating</v>
      </c>
      <c r="B113" s="6"/>
      <c r="C113" s="6"/>
      <c r="D113" s="13"/>
      <c r="E113" s="6"/>
      <c r="F113" s="16"/>
      <c r="G113" s="6"/>
      <c r="H113" s="6"/>
      <c r="I113" s="3"/>
    </row>
    <row r="114">
      <c r="A114" s="4" t="str">
        <f>IFERROR(__xludf.DUMMYFUNCTION("""COMPUTED_VALUE"""),"https://www.restomontreal.ca/resto/au-coin-berbere-couscous-montreal/30/en/")</f>
        <v>https://www.restomontreal.ca/resto/au-coin-berbere-couscous-montreal/30/en/</v>
      </c>
      <c r="B114" s="6"/>
      <c r="C114" s="6"/>
      <c r="D114" s="13"/>
      <c r="E114" s="6"/>
      <c r="F114" s="16"/>
      <c r="G114" s="6"/>
      <c r="H114" s="6"/>
      <c r="I114" s="3"/>
    </row>
    <row r="115">
      <c r="A115" s="7" t="str">
        <f>IFERROR(__xludf.DUMMYFUNCTION("""COMPUTED_VALUE""")," Au Coin Berbere Couscous Montreal ")</f>
        <v> Au Coin Berbere Couscous Montreal </v>
      </c>
      <c r="B115" s="8" t="str">
        <f>IFERROR(__xludf.DUMMYFUNCTION("IMPORTXML(A114,'URLs and Paths'!$B$4)"),"$$")</f>
        <v>$$</v>
      </c>
      <c r="C115" s="8">
        <f>IFS(B115="$", 10,
  B115="$$", 25,
  B115="$$$", 37.5,
  B115="$ &amp; $$", 17.5,
  B115="$ &amp; $$$", 23.75,
  B115="$$ &amp; $$$", 31.25
)</f>
        <v>25</v>
      </c>
      <c r="D115" s="5" t="str">
        <f>IFERROR(__xludf.DUMMYFUNCTION("IMPORTXML(A114,'URLs and Paths'!$B$5)"),"  Master Card, Visa, Interac")</f>
        <v>  Master Card, Visa, Interac</v>
      </c>
      <c r="E115" s="8" t="str">
        <f>IFERROR(__xludf.DUMMYFUNCTION("IMPORTXML(A114,'URLs and Paths'!$B$6)"),"166 Rue Prince Arthur E, Montreal, H2X 1B7")</f>
        <v>166 Rue Prince Arthur E, Montreal, H2X 1B7</v>
      </c>
      <c r="F115" s="9" t="str">
        <f>IFERROR(__xludf.DUMMYFUNCTION("IMAGE(IMPORTXML(A114,'URLs and Paths'!$B$7))"),"")</f>
        <v/>
      </c>
      <c r="G115" s="10" t="str">
        <f>TEXTJOIN(",",TRUE,A116:A120)</f>
        <v>fas fa-star search star-rating,fas fa-star search star-rating,fas fa-star search star-rating,fas fa-star search star-rating,fas fa-star search star-rating</v>
      </c>
      <c r="H115" s="6">
        <f>IFS(G115 = 'URLs and Paths'!$D$3,5, 
G115='URLs and Paths'!$D$4, 4.5,
G115='URLs and Paths'!$D$5, 4,
G115='URLs and Paths'!$D$6, 3.5,
G115='URLs and Paths'!$D$7, 3,
G115='URLs and Paths'!$D$8, 2.5,
G115='URLs and Paths'!$D$9, 2,
G115='URLs and Paths'!$D$10, 1.5,
G115='URLs and Paths'!$D$11, 1)</f>
        <v>5</v>
      </c>
      <c r="I115" s="3"/>
    </row>
    <row r="116">
      <c r="A116" s="15" t="str">
        <f>IFERROR(__xludf.DUMMYFUNCTION("""COMPUTED_VALUE"""),"fas fa-star search star-rating")</f>
        <v>fas fa-star search star-rating</v>
      </c>
      <c r="B116" s="6"/>
      <c r="C116" s="6"/>
      <c r="D116" s="13"/>
      <c r="E116" s="6"/>
      <c r="F116" s="16"/>
      <c r="G116" s="6"/>
      <c r="H116" s="6"/>
      <c r="I116" s="3"/>
    </row>
    <row r="117">
      <c r="A117" s="15" t="str">
        <f>IFERROR(__xludf.DUMMYFUNCTION("""COMPUTED_VALUE"""),"fas fa-star search star-rating")</f>
        <v>fas fa-star search star-rating</v>
      </c>
      <c r="B117" s="6"/>
      <c r="C117" s="6"/>
      <c r="D117" s="13"/>
      <c r="E117" s="6"/>
      <c r="F117" s="16"/>
      <c r="G117" s="6"/>
      <c r="H117" s="6"/>
      <c r="I117" s="3"/>
    </row>
    <row r="118">
      <c r="A118" s="15" t="str">
        <f>IFERROR(__xludf.DUMMYFUNCTION("""COMPUTED_VALUE"""),"fas fa-star search star-rating")</f>
        <v>fas fa-star search star-rating</v>
      </c>
      <c r="B118" s="6"/>
      <c r="C118" s="6"/>
      <c r="D118" s="13"/>
      <c r="E118" s="6"/>
      <c r="F118" s="16"/>
      <c r="G118" s="6"/>
      <c r="H118" s="6"/>
      <c r="I118" s="3"/>
    </row>
    <row r="119">
      <c r="A119" s="15" t="str">
        <f>IFERROR(__xludf.DUMMYFUNCTION("""COMPUTED_VALUE"""),"fas fa-star search star-rating")</f>
        <v>fas fa-star search star-rating</v>
      </c>
      <c r="B119" s="6"/>
      <c r="C119" s="6"/>
      <c r="D119" s="13"/>
      <c r="E119" s="6"/>
      <c r="F119" s="16"/>
      <c r="G119" s="6"/>
      <c r="H119" s="6"/>
      <c r="I119" s="3"/>
    </row>
    <row r="120">
      <c r="A120" s="15" t="str">
        <f>IFERROR(__xludf.DUMMYFUNCTION("""COMPUTED_VALUE"""),"fas fa-star search star-rating")</f>
        <v>fas fa-star search star-rating</v>
      </c>
      <c r="B120" s="6"/>
      <c r="C120" s="6"/>
      <c r="D120" s="13"/>
      <c r="E120" s="6"/>
      <c r="F120" s="16"/>
      <c r="G120" s="6"/>
      <c r="H120" s="6"/>
      <c r="I120" s="3"/>
    </row>
    <row r="121">
      <c r="A121" s="4" t="str">
        <f>IFERROR(__xludf.DUMMYFUNCTION("""COMPUTED_VALUE"""),"https://www.restomontreal.ca/resto/restaurant-les-belles-soeurs-montreal/4629/en/")</f>
        <v>https://www.restomontreal.ca/resto/restaurant-les-belles-soeurs-montreal/4629/en/</v>
      </c>
      <c r="B121" s="6"/>
      <c r="C121" s="6"/>
      <c r="D121" s="13"/>
      <c r="E121" s="6"/>
      <c r="F121" s="16"/>
      <c r="G121" s="6"/>
      <c r="H121" s="6"/>
      <c r="I121" s="3"/>
    </row>
    <row r="122">
      <c r="A122" s="7" t="str">
        <f>IFERROR(__xludf.DUMMYFUNCTION("""COMPUTED_VALUE""")," Restaurant Les Belles-Soeurs ")</f>
        <v> Restaurant Les Belles-Soeurs </v>
      </c>
      <c r="B122" s="8" t="str">
        <f>IFERROR(__xludf.DUMMYFUNCTION("IMPORTXML(A121,'URLs and Paths'!$B$4)"),"$ &amp; $$")</f>
        <v>$ &amp; $$</v>
      </c>
      <c r="C122" s="8">
        <f>IFS(B122="$", 10,
  B122="$$", 25,
  B122="$$$", 37.5,
  B122="$ &amp; $$", 17.5,
  B122="$ &amp; $$$", 23.75,
  B122="$$ &amp; $$$", 31.25
)</f>
        <v>17.5</v>
      </c>
      <c r="D122" s="5" t="str">
        <f>IFERROR(__xludf.DUMMYFUNCTION("IMPORTXML(A121,'URLs and Paths'!$B$5)"),"  Interac")</f>
        <v>  Interac</v>
      </c>
      <c r="E122" s="8" t="str">
        <f>IFERROR(__xludf.DUMMYFUNCTION("IMPORTXML(A121,'URLs and Paths'!$B$6)"),"2251 Rue Marie-Anne E, Montreal, H2H 1N4")</f>
        <v>2251 Rue Marie-Anne E, Montreal, H2H 1N4</v>
      </c>
      <c r="F122" s="9" t="str">
        <f>IFERROR(__xludf.DUMMYFUNCTION("IMAGE(IMPORTXML(A121,'URLs and Paths'!$B$7))"),"")</f>
        <v/>
      </c>
      <c r="G122" s="10" t="str">
        <f>TEXTJOIN(",",TRUE,A123:A127)</f>
        <v>fas fa-star search star-rating,fas fa-star search star-rating,fas fa-star search star-rating,fas fa-star search star-rating,fas fa-star-half search star-rating</v>
      </c>
      <c r="H122" s="6">
        <f>IFS(G122 = 'URLs and Paths'!$D$3,5, 
G122='URLs and Paths'!$D$4, 4.5,
G122='URLs and Paths'!$D$5, 4,
G122='URLs and Paths'!$D$6, 3.5,
G122='URLs and Paths'!$D$7, 3,
G122='URLs and Paths'!$D$8, 2.5,
G122='URLs and Paths'!$D$9, 2,
G122='URLs and Paths'!$D$10, 1.5,
G122='URLs and Paths'!$D$11, 1)</f>
        <v>4.5</v>
      </c>
      <c r="I122" s="3"/>
    </row>
    <row r="123">
      <c r="A123" s="15" t="str">
        <f>IFERROR(__xludf.DUMMYFUNCTION("""COMPUTED_VALUE"""),"fas fa-star search star-rating")</f>
        <v>fas fa-star search star-rating</v>
      </c>
      <c r="B123" s="6"/>
      <c r="C123" s="6"/>
      <c r="D123" s="13"/>
      <c r="E123" s="6"/>
      <c r="F123" s="16"/>
      <c r="G123" s="6"/>
      <c r="H123" s="6"/>
      <c r="I123" s="3"/>
    </row>
    <row r="124">
      <c r="A124" s="15" t="str">
        <f>IFERROR(__xludf.DUMMYFUNCTION("""COMPUTED_VALUE"""),"fas fa-star search star-rating")</f>
        <v>fas fa-star search star-rating</v>
      </c>
      <c r="B124" s="6"/>
      <c r="C124" s="6"/>
      <c r="D124" s="13"/>
      <c r="E124" s="6"/>
      <c r="F124" s="16"/>
      <c r="G124" s="6"/>
      <c r="H124" s="6"/>
      <c r="I124" s="3"/>
    </row>
    <row r="125">
      <c r="A125" s="15" t="str">
        <f>IFERROR(__xludf.DUMMYFUNCTION("""COMPUTED_VALUE"""),"fas fa-star search star-rating")</f>
        <v>fas fa-star search star-rating</v>
      </c>
      <c r="B125" s="6"/>
      <c r="C125" s="6"/>
      <c r="D125" s="13"/>
      <c r="E125" s="6"/>
      <c r="F125" s="16"/>
      <c r="G125" s="6"/>
      <c r="H125" s="6"/>
      <c r="I125" s="3"/>
    </row>
    <row r="126">
      <c r="A126" s="15" t="str">
        <f>IFERROR(__xludf.DUMMYFUNCTION("""COMPUTED_VALUE"""),"fas fa-star search star-rating")</f>
        <v>fas fa-star search star-rating</v>
      </c>
      <c r="B126" s="6"/>
      <c r="C126" s="6"/>
      <c r="D126" s="13"/>
      <c r="E126" s="6"/>
      <c r="F126" s="16"/>
      <c r="G126" s="6"/>
      <c r="H126" s="6"/>
      <c r="I126" s="3"/>
    </row>
    <row r="127">
      <c r="A127" s="15" t="str">
        <f>IFERROR(__xludf.DUMMYFUNCTION("""COMPUTED_VALUE"""),"fas fa-star-half search star-rating")</f>
        <v>fas fa-star-half search star-rating</v>
      </c>
      <c r="B127" s="6"/>
      <c r="C127" s="6"/>
      <c r="D127" s="13"/>
      <c r="E127" s="6"/>
      <c r="F127" s="16"/>
      <c r="G127" s="6"/>
      <c r="H127" s="6"/>
      <c r="I127" s="3"/>
    </row>
    <row r="128">
      <c r="A128" s="4" t="str">
        <f>IFERROR(__xludf.DUMMYFUNCTION("""COMPUTED_VALUE"""),"https://www.restomontreal.ca/resto/le-pegase-montreal/1141/en/")</f>
        <v>https://www.restomontreal.ca/resto/le-pegase-montreal/1141/en/</v>
      </c>
      <c r="B128" s="6"/>
      <c r="C128" s="6"/>
      <c r="D128" s="13"/>
      <c r="E128" s="6"/>
      <c r="F128" s="16"/>
      <c r="G128" s="6"/>
      <c r="H128" s="6"/>
      <c r="I128" s="3"/>
    </row>
    <row r="129">
      <c r="A129" s="7" t="str">
        <f>IFERROR(__xludf.DUMMYFUNCTION("""COMPUTED_VALUE""")," Le Pégase ")</f>
        <v> Le Pégase </v>
      </c>
      <c r="B129" s="8" t="str">
        <f>IFERROR(__xludf.DUMMYFUNCTION("IMPORTXML(A128,'URLs and Paths'!$B$4)"),"$$ &amp; $$$")</f>
        <v>$$ &amp; $$$</v>
      </c>
      <c r="C129" s="8">
        <f>IFS(B129="$", 10,
  B129="$$", 25,
  B129="$$$", 37.5,
  B129="$ &amp; $$", 17.5,
  B129="$ &amp; $$$", 23.75,
  B129="$$ &amp; $$$", 31.25
)</f>
        <v>31.25</v>
      </c>
      <c r="D129" s="5" t="str">
        <f>IFERROR(__xludf.DUMMYFUNCTION("IMPORTXML(A128,'URLs and Paths'!$B$5)"),"  Master Card, Visa, AMEX, Interac")</f>
        <v>  Master Card, Visa, AMEX, Interac</v>
      </c>
      <c r="E129" s="8" t="str">
        <f>IFERROR(__xludf.DUMMYFUNCTION("IMPORTXML(A128,'URLs and Paths'!$B$6)"),"1831 Rue Gilford, Montreal, H2H 1G6")</f>
        <v>1831 Rue Gilford, Montreal, H2H 1G6</v>
      </c>
      <c r="F129" s="9" t="str">
        <f>IFERROR(__xludf.DUMMYFUNCTION("IMAGE(IMPORTXML(A128,'URLs and Paths'!$B$7))"),"")</f>
        <v/>
      </c>
      <c r="G129" s="10" t="str">
        <f>TEXTJOIN(",",TRUE,A130:A134)</f>
        <v>fas fa-star search star-rating,fas fa-star search star-rating,fas fa-star search star-rating,fas fa-star search star-rating,fas fa-star search star-rating</v>
      </c>
      <c r="H129" s="6">
        <f>IFS(G129 = 'URLs and Paths'!$D$3,5, 
G129='URLs and Paths'!$D$4, 4.5,
G129='URLs and Paths'!$D$5, 4,
G129='URLs and Paths'!$D$6, 3.5,
G129='URLs and Paths'!$D$7, 3,
G129='URLs and Paths'!$D$8, 2.5,
G129='URLs and Paths'!$D$9, 2,
G129='URLs and Paths'!$D$10, 1.5,
G129='URLs and Paths'!$D$11, 1)</f>
        <v>5</v>
      </c>
      <c r="I129" s="3"/>
    </row>
    <row r="130">
      <c r="A130" s="15" t="str">
        <f>IFERROR(__xludf.DUMMYFUNCTION("""COMPUTED_VALUE"""),"fas fa-star search star-rating")</f>
        <v>fas fa-star search star-rating</v>
      </c>
      <c r="B130" s="6"/>
      <c r="C130" s="6"/>
      <c r="D130" s="13"/>
      <c r="E130" s="6"/>
      <c r="F130" s="16"/>
      <c r="G130" s="6"/>
      <c r="H130" s="6"/>
      <c r="I130" s="3"/>
    </row>
    <row r="131">
      <c r="A131" s="15" t="str">
        <f>IFERROR(__xludf.DUMMYFUNCTION("""COMPUTED_VALUE"""),"fas fa-star search star-rating")</f>
        <v>fas fa-star search star-rating</v>
      </c>
      <c r="B131" s="6"/>
      <c r="C131" s="6"/>
      <c r="D131" s="13"/>
      <c r="E131" s="6"/>
      <c r="F131" s="16"/>
      <c r="G131" s="6"/>
      <c r="H131" s="6"/>
      <c r="I131" s="3"/>
    </row>
    <row r="132">
      <c r="A132" s="15" t="str">
        <f>IFERROR(__xludf.DUMMYFUNCTION("""COMPUTED_VALUE"""),"fas fa-star search star-rating")</f>
        <v>fas fa-star search star-rating</v>
      </c>
      <c r="B132" s="6"/>
      <c r="C132" s="6"/>
      <c r="D132" s="13"/>
      <c r="E132" s="6"/>
      <c r="F132" s="16"/>
      <c r="G132" s="6"/>
      <c r="H132" s="6"/>
      <c r="I132" s="3"/>
    </row>
    <row r="133">
      <c r="A133" s="15" t="str">
        <f>IFERROR(__xludf.DUMMYFUNCTION("""COMPUTED_VALUE"""),"fas fa-star search star-rating")</f>
        <v>fas fa-star search star-rating</v>
      </c>
      <c r="B133" s="6"/>
      <c r="C133" s="6"/>
      <c r="D133" s="13"/>
      <c r="E133" s="6"/>
      <c r="F133" s="16"/>
      <c r="G133" s="6"/>
      <c r="H133" s="6"/>
      <c r="I133" s="3"/>
    </row>
    <row r="134">
      <c r="A134" s="15" t="str">
        <f>IFERROR(__xludf.DUMMYFUNCTION("""COMPUTED_VALUE"""),"fas fa-star search star-rating")</f>
        <v>fas fa-star search star-rating</v>
      </c>
      <c r="B134" s="6"/>
      <c r="C134" s="6"/>
      <c r="D134" s="13"/>
      <c r="E134" s="6"/>
      <c r="F134" s="16"/>
      <c r="G134" s="6"/>
      <c r="H134" s="6"/>
      <c r="I134" s="3"/>
    </row>
    <row r="135">
      <c r="A135" s="4" t="str">
        <f>IFERROR(__xludf.DUMMYFUNCTION("""COMPUTED_VALUE"""),"https://www.restomontreal.ca/resto/coba-sushi-montreal/1522/en/")</f>
        <v>https://www.restomontreal.ca/resto/coba-sushi-montreal/1522/en/</v>
      </c>
      <c r="B135" s="6"/>
      <c r="C135" s="6"/>
      <c r="D135" s="13"/>
      <c r="E135" s="6"/>
      <c r="F135" s="16"/>
      <c r="G135" s="6"/>
      <c r="H135" s="6"/>
      <c r="I135" s="3"/>
    </row>
    <row r="136">
      <c r="A136" s="7" t="str">
        <f>IFERROR(__xludf.DUMMYFUNCTION("""COMPUTED_VALUE""")," Côba Sushi ")</f>
        <v> Côba Sushi </v>
      </c>
      <c r="B136" s="8" t="str">
        <f>IFERROR(__xludf.DUMMYFUNCTION("IMPORTXML(A135,'URLs and Paths'!$B$4)"),"$$ &amp; $$$")</f>
        <v>$$ &amp; $$$</v>
      </c>
      <c r="C136" s="8">
        <f>IFS(B136="$", 10,
  B136="$$", 25,
  B136="$$$", 37.5,
  B136="$ &amp; $$", 17.5,
  B136="$ &amp; $$$", 23.75,
  B136="$$ &amp; $$$", 31.25
)</f>
        <v>31.25</v>
      </c>
      <c r="D136" s="5" t="str">
        <f>IFERROR(__xludf.DUMMYFUNCTION("IMPORTXML(A135,'URLs and Paths'!$B$5)"),"Loading...")</f>
        <v>Loading...</v>
      </c>
      <c r="E136" s="8" t="str">
        <f>IFERROR(__xludf.DUMMYFUNCTION("IMPORTXML(A135,'URLs and Paths'!$B$6)"),"1124 Avenue Laurier O, Montreal, H2V 2L4")</f>
        <v>1124 Avenue Laurier O, Montreal, H2V 2L4</v>
      </c>
      <c r="F136" s="9" t="str">
        <f>IFERROR(__xludf.DUMMYFUNCTION("IMAGE(IMPORTXML(A135,'URLs and Paths'!$B$7))"),"")</f>
        <v/>
      </c>
      <c r="G136" s="10" t="str">
        <f>TEXTJOIN(",",TRUE,A137:A141)</f>
        <v>fas fa-star search star-rating,fas fa-star search star-rating,fas fa-star search star-rating,fas fa-star search star-rating,fas fa-star search star-rating</v>
      </c>
      <c r="H136" s="6">
        <f>IFS(G136 = 'URLs and Paths'!$D$3,5, 
G136='URLs and Paths'!$D$4, 4.5,
G136='URLs and Paths'!$D$5, 4,
G136='URLs and Paths'!$D$6, 3.5,
G136='URLs and Paths'!$D$7, 3,
G136='URLs and Paths'!$D$8, 2.5,
G136='URLs and Paths'!$D$9, 2,
G136='URLs and Paths'!$D$10, 1.5,
G136='URLs and Paths'!$D$11, 1)</f>
        <v>5</v>
      </c>
      <c r="I136" s="3"/>
    </row>
    <row r="137">
      <c r="A137" s="15" t="str">
        <f>IFERROR(__xludf.DUMMYFUNCTION("""COMPUTED_VALUE"""),"fas fa-star search star-rating")</f>
        <v>fas fa-star search star-rating</v>
      </c>
      <c r="B137" s="6"/>
      <c r="C137" s="6"/>
      <c r="D137" s="13"/>
      <c r="E137" s="6"/>
      <c r="F137" s="16"/>
      <c r="G137" s="6"/>
      <c r="H137" s="6"/>
      <c r="I137" s="3"/>
    </row>
    <row r="138">
      <c r="A138" s="15" t="str">
        <f>IFERROR(__xludf.DUMMYFUNCTION("""COMPUTED_VALUE"""),"fas fa-star search star-rating")</f>
        <v>fas fa-star search star-rating</v>
      </c>
      <c r="B138" s="6"/>
      <c r="C138" s="6"/>
      <c r="D138" s="13"/>
      <c r="E138" s="6"/>
      <c r="F138" s="16"/>
      <c r="G138" s="6"/>
      <c r="H138" s="6"/>
      <c r="I138" s="3"/>
    </row>
    <row r="139">
      <c r="A139" s="15" t="str">
        <f>IFERROR(__xludf.DUMMYFUNCTION("""COMPUTED_VALUE"""),"fas fa-star search star-rating")</f>
        <v>fas fa-star search star-rating</v>
      </c>
      <c r="B139" s="6"/>
      <c r="C139" s="6"/>
      <c r="D139" s="13"/>
      <c r="E139" s="6"/>
      <c r="F139" s="16"/>
      <c r="G139" s="6"/>
      <c r="H139" s="6"/>
      <c r="I139" s="3"/>
    </row>
    <row r="140">
      <c r="A140" s="15" t="str">
        <f>IFERROR(__xludf.DUMMYFUNCTION("""COMPUTED_VALUE"""),"fas fa-star search star-rating")</f>
        <v>fas fa-star search star-rating</v>
      </c>
      <c r="B140" s="6"/>
      <c r="C140" s="6"/>
      <c r="D140" s="13"/>
      <c r="E140" s="6"/>
      <c r="F140" s="16"/>
      <c r="G140" s="6"/>
      <c r="H140" s="6"/>
      <c r="I140" s="3"/>
    </row>
    <row r="141">
      <c r="A141" s="15" t="str">
        <f>IFERROR(__xludf.DUMMYFUNCTION("""COMPUTED_VALUE"""),"fas fa-star search star-rating")</f>
        <v>fas fa-star search star-rating</v>
      </c>
      <c r="B141" s="6"/>
      <c r="C141" s="6"/>
      <c r="D141" s="13"/>
      <c r="E141" s="6"/>
      <c r="F141" s="16"/>
      <c r="G141" s="6"/>
      <c r="H141" s="6"/>
      <c r="I141" s="3"/>
    </row>
    <row r="142">
      <c r="A142" s="4" t="str">
        <f>IFERROR(__xludf.DUMMYFUNCTION("""COMPUTED_VALUE"""),"https://www.restomontreal.ca/resto/le-bleu-raisin-montreal/1720/en/")</f>
        <v>https://www.restomontreal.ca/resto/le-bleu-raisin-montreal/1720/en/</v>
      </c>
      <c r="B142" s="6"/>
      <c r="C142" s="6"/>
      <c r="D142" s="13"/>
      <c r="E142" s="6"/>
      <c r="F142" s="16"/>
      <c r="G142" s="6"/>
      <c r="H142" s="6"/>
      <c r="I142" s="3"/>
    </row>
    <row r="143">
      <c r="A143" s="7" t="str">
        <f>IFERROR(__xludf.DUMMYFUNCTION("""COMPUTED_VALUE""")," Le Bleu Raisin ")</f>
        <v> Le Bleu Raisin </v>
      </c>
      <c r="B143" s="8" t="str">
        <f>IFERROR(__xludf.DUMMYFUNCTION("IMPORTXML(A142,'URLs and Paths'!$B$4)"),"$$$")</f>
        <v>$$$</v>
      </c>
      <c r="C143" s="8">
        <f>IFS(B143="$", 10,
  B143="$$", 25,
  B143="$$$", 37.5,
  B143="$ &amp; $$", 17.5,
  B143="$ &amp; $$$", 23.75,
  B143="$$ &amp; $$$", 31.25
)</f>
        <v>37.5</v>
      </c>
      <c r="D143" s="5" t="str">
        <f>IFERROR(__xludf.DUMMYFUNCTION("IMPORTXML(A142,'URLs and Paths'!$B$5)"),"  Master Card, Visa, Interac")</f>
        <v>  Master Card, Visa, Interac</v>
      </c>
      <c r="E143" s="8" t="str">
        <f>IFERROR(__xludf.DUMMYFUNCTION("IMPORTXML(A142,'URLs and Paths'!$B$6)"),"5237 Rue Saint-Denis, Montreal, H2J 2M1")</f>
        <v>5237 Rue Saint-Denis, Montreal, H2J 2M1</v>
      </c>
      <c r="F143" s="9" t="str">
        <f>IFERROR(__xludf.DUMMYFUNCTION("IMAGE(IMPORTXML(A142,'URLs and Paths'!$B$7))"),"")</f>
        <v/>
      </c>
      <c r="G143" s="10" t="str">
        <f>TEXTJOIN(",",TRUE,A144:A148)</f>
        <v>fas fa-star search star-rating,fas fa-star search star-rating,fas fa-star search star-rating,fas fa-star search star-rating,fas fa-star search star-rating</v>
      </c>
      <c r="H143" s="6">
        <f>IFS(G143 = 'URLs and Paths'!$D$3,5, 
G143='URLs and Paths'!$D$4, 4.5,
G143='URLs and Paths'!$D$5, 4,
G143='URLs and Paths'!$D$6, 3.5,
G143='URLs and Paths'!$D$7, 3,
G143='URLs and Paths'!$D$8, 2.5,
G143='URLs and Paths'!$D$9, 2,
G143='URLs and Paths'!$D$10, 1.5,
G143='URLs and Paths'!$D$11, 1)</f>
        <v>5</v>
      </c>
      <c r="I143" s="3"/>
    </row>
    <row r="144">
      <c r="A144" s="15" t="str">
        <f>IFERROR(__xludf.DUMMYFUNCTION("""COMPUTED_VALUE"""),"fas fa-star search star-rating")</f>
        <v>fas fa-star search star-rating</v>
      </c>
      <c r="B144" s="6"/>
      <c r="C144" s="6"/>
      <c r="D144" s="13"/>
      <c r="E144" s="6"/>
      <c r="F144" s="16"/>
      <c r="G144" s="6"/>
      <c r="H144" s="6"/>
      <c r="I144" s="3"/>
    </row>
    <row r="145">
      <c r="A145" s="15" t="str">
        <f>IFERROR(__xludf.DUMMYFUNCTION("""COMPUTED_VALUE"""),"fas fa-star search star-rating")</f>
        <v>fas fa-star search star-rating</v>
      </c>
      <c r="B145" s="6"/>
      <c r="C145" s="6"/>
      <c r="D145" s="13"/>
      <c r="E145" s="6"/>
      <c r="F145" s="16"/>
      <c r="G145" s="6"/>
      <c r="H145" s="6"/>
      <c r="I145" s="3"/>
    </row>
    <row r="146">
      <c r="A146" s="15" t="str">
        <f>IFERROR(__xludf.DUMMYFUNCTION("""COMPUTED_VALUE"""),"fas fa-star search star-rating")</f>
        <v>fas fa-star search star-rating</v>
      </c>
      <c r="B146" s="6"/>
      <c r="C146" s="6"/>
      <c r="D146" s="13"/>
      <c r="E146" s="6"/>
      <c r="F146" s="16"/>
      <c r="G146" s="6"/>
      <c r="H146" s="6"/>
      <c r="I146" s="3"/>
    </row>
    <row r="147">
      <c r="A147" s="15" t="str">
        <f>IFERROR(__xludf.DUMMYFUNCTION("""COMPUTED_VALUE"""),"fas fa-star search star-rating")</f>
        <v>fas fa-star search star-rating</v>
      </c>
      <c r="B147" s="6"/>
      <c r="C147" s="6"/>
      <c r="D147" s="13"/>
      <c r="E147" s="6"/>
      <c r="F147" s="16"/>
      <c r="G147" s="6"/>
      <c r="H147" s="6"/>
      <c r="I147" s="3"/>
    </row>
    <row r="148">
      <c r="A148" s="15" t="str">
        <f>IFERROR(__xludf.DUMMYFUNCTION("""COMPUTED_VALUE"""),"fas fa-star search star-rating")</f>
        <v>fas fa-star search star-rating</v>
      </c>
      <c r="B148" s="6"/>
      <c r="C148" s="6"/>
      <c r="D148" s="13"/>
      <c r="E148" s="6"/>
      <c r="F148" s="16"/>
      <c r="G148" s="6"/>
      <c r="H148" s="6"/>
      <c r="I148" s="3"/>
    </row>
    <row r="149">
      <c r="A149" s="4" t="str">
        <f>IFERROR(__xludf.DUMMYFUNCTION("""COMPUTED_VALUE"""),"https://www.restomontreal.ca/resto/khyber-pass-montreal/1027/en/")</f>
        <v>https://www.restomontreal.ca/resto/khyber-pass-montreal/1027/en/</v>
      </c>
      <c r="B149" s="6"/>
      <c r="C149" s="6"/>
      <c r="D149" s="13"/>
      <c r="E149" s="6"/>
      <c r="F149" s="16"/>
      <c r="G149" s="6"/>
      <c r="H149" s="6"/>
      <c r="I149" s="3"/>
    </row>
    <row r="150">
      <c r="A150" s="7" t="str">
        <f>IFERROR(__xludf.DUMMYFUNCTION("""COMPUTED_VALUE""")," Khyber Pass ")</f>
        <v> Khyber Pass </v>
      </c>
      <c r="B150" s="8" t="str">
        <f>IFERROR(__xludf.DUMMYFUNCTION("IMPORTXML(A149,'URLs and Paths'!$B$4)"),"$$")</f>
        <v>$$</v>
      </c>
      <c r="C150" s="8">
        <f>IFS(B150="$", 10,
  B150="$$", 25,
  B150="$$$", 37.5,
  B150="$ &amp; $$", 17.5,
  B150="$ &amp; $$$", 23.75,
  B150="$$ &amp; $$$", 31.25
)</f>
        <v>25</v>
      </c>
      <c r="D150" s="5" t="str">
        <f>IFERROR(__xludf.DUMMYFUNCTION("IMPORTXML(A149,'URLs and Paths'!$B$5)"),"  Visa, Interac")</f>
        <v>  Visa, Interac</v>
      </c>
      <c r="E150" s="8" t="str">
        <f>IFERROR(__xludf.DUMMYFUNCTION("IMPORTXML(A149,'URLs and Paths'!$B$6)"),"506 Avenue Duluth E, Montreal, H2L 1A7")</f>
        <v>506 Avenue Duluth E, Montreal, H2L 1A7</v>
      </c>
      <c r="F150" s="9" t="str">
        <f>IFERROR(__xludf.DUMMYFUNCTION("IMAGE(IMPORTXML(A149,'URLs and Paths'!$B$7))"),"")</f>
        <v/>
      </c>
      <c r="G150" s="10" t="str">
        <f>TEXTJOIN(",",TRUE,A151:A155)</f>
        <v>fas fa-star search star-rating,fas fa-star search star-rating,fas fa-star search star-rating,fas fa-star search star-rating,fas fa-star search star-rating</v>
      </c>
      <c r="H150" s="6">
        <f>IFS(G150 = 'URLs and Paths'!$D$3,5, 
G150='URLs and Paths'!$D$4, 4.5,
G150='URLs and Paths'!$D$5, 4,
G150='URLs and Paths'!$D$6, 3.5,
G150='URLs and Paths'!$D$7, 3,
G150='URLs and Paths'!$D$8, 2.5,
G150='URLs and Paths'!$D$9, 2,
G150='URLs and Paths'!$D$10, 1.5,
G150='URLs and Paths'!$D$11, 1)</f>
        <v>5</v>
      </c>
      <c r="I150" s="3"/>
    </row>
    <row r="151">
      <c r="A151" s="15" t="str">
        <f>IFERROR(__xludf.DUMMYFUNCTION("""COMPUTED_VALUE"""),"fas fa-star search star-rating")</f>
        <v>fas fa-star search star-rating</v>
      </c>
      <c r="B151" s="6"/>
      <c r="C151" s="6"/>
      <c r="D151" s="13"/>
      <c r="E151" s="6"/>
      <c r="F151" s="16"/>
      <c r="G151" s="6"/>
      <c r="H151" s="6"/>
      <c r="I151" s="3"/>
    </row>
    <row r="152">
      <c r="A152" s="15" t="str">
        <f>IFERROR(__xludf.DUMMYFUNCTION("""COMPUTED_VALUE"""),"fas fa-star search star-rating")</f>
        <v>fas fa-star search star-rating</v>
      </c>
      <c r="B152" s="6"/>
      <c r="C152" s="6"/>
      <c r="D152" s="13"/>
      <c r="E152" s="6"/>
      <c r="F152" s="16"/>
      <c r="G152" s="6"/>
      <c r="H152" s="6"/>
      <c r="I152" s="3"/>
    </row>
    <row r="153">
      <c r="A153" s="15" t="str">
        <f>IFERROR(__xludf.DUMMYFUNCTION("""COMPUTED_VALUE"""),"fas fa-star search star-rating")</f>
        <v>fas fa-star search star-rating</v>
      </c>
      <c r="B153" s="6"/>
      <c r="C153" s="6"/>
      <c r="D153" s="13"/>
      <c r="E153" s="6"/>
      <c r="F153" s="16"/>
      <c r="G153" s="6"/>
      <c r="H153" s="6"/>
      <c r="I153" s="3"/>
    </row>
    <row r="154">
      <c r="A154" s="15" t="str">
        <f>IFERROR(__xludf.DUMMYFUNCTION("""COMPUTED_VALUE"""),"fas fa-star search star-rating")</f>
        <v>fas fa-star search star-rating</v>
      </c>
      <c r="B154" s="6"/>
      <c r="C154" s="6"/>
      <c r="D154" s="13"/>
      <c r="E154" s="6"/>
      <c r="F154" s="16"/>
      <c r="G154" s="6"/>
      <c r="H154" s="6"/>
      <c r="I154" s="3"/>
    </row>
    <row r="155">
      <c r="A155" s="15" t="str">
        <f>IFERROR(__xludf.DUMMYFUNCTION("""COMPUTED_VALUE"""),"fas fa-star search star-rating")</f>
        <v>fas fa-star search star-rating</v>
      </c>
      <c r="B155" s="6"/>
      <c r="C155" s="6"/>
      <c r="D155" s="13"/>
      <c r="E155" s="6"/>
      <c r="F155" s="16"/>
      <c r="G155" s="6"/>
      <c r="H155" s="6"/>
      <c r="I155" s="3"/>
    </row>
    <row r="156">
      <c r="A156" s="4" t="str">
        <f>IFERROR(__xludf.DUMMYFUNCTION("""COMPUTED_VALUE"""),"https://www.restomontreal.ca/resto/levidence-montreal/2985/en/")</f>
        <v>https://www.restomontreal.ca/resto/levidence-montreal/2985/en/</v>
      </c>
      <c r="B156" s="6"/>
      <c r="C156" s="6"/>
      <c r="D156" s="13"/>
      <c r="E156" s="6"/>
      <c r="F156" s="16"/>
      <c r="G156" s="6"/>
      <c r="H156" s="6"/>
      <c r="I156" s="3"/>
    </row>
    <row r="157">
      <c r="A157" s="7" t="str">
        <f>IFERROR(__xludf.DUMMYFUNCTION("""COMPUTED_VALUE""")," L'Évidence ")</f>
        <v> L'Évidence </v>
      </c>
      <c r="B157" s="8" t="str">
        <f>IFERROR(__xludf.DUMMYFUNCTION("IMPORTXML(A156,'URLs and Paths'!$B$4)"),"$")</f>
        <v>$</v>
      </c>
      <c r="C157" s="8">
        <f>IFS(B157="$", 10,
  B157="$$", 25,
  B157="$$$", 37.5,
  B157="$ &amp; $$", 17.5,
  B157="$ &amp; $$$", 23.75,
  B157="$$ &amp; $$$", 31.25
)</f>
        <v>10</v>
      </c>
      <c r="D157" s="5" t="str">
        <f>IFERROR(__xludf.DUMMYFUNCTION("IMPORTXML(A156,'URLs and Paths'!$B$5)"),"  Master Card, Visa, Interac")</f>
        <v>  Master Card, Visa, Interac</v>
      </c>
      <c r="E157" s="8" t="str">
        <f>IFERROR(__xludf.DUMMYFUNCTION("IMPORTXML(A156,'URLs and Paths'!$B$6)"),"3817 Rue Saint-Denis, Montreal, H2W 2M4")</f>
        <v>3817 Rue Saint-Denis, Montreal, H2W 2M4</v>
      </c>
      <c r="F157" s="9" t="str">
        <f>IFERROR(__xludf.DUMMYFUNCTION("IMAGE(IMPORTXML(A156,'URLs and Paths'!$B$7))"),"")</f>
        <v/>
      </c>
      <c r="G157" s="10" t="str">
        <f>TEXTJOIN(",",TRUE,A158:A162)</f>
        <v>fas fa-star search star-rating,fas fa-star search star-rating,fas fa-star search star-rating,fas fa-star search star-rating,fas fa-star-half search star-rating</v>
      </c>
      <c r="H157" s="6">
        <f>IFS(G157 = 'URLs and Paths'!$D$3,5, 
G157='URLs and Paths'!$D$4, 4.5,
G157='URLs and Paths'!$D$5, 4,
G157='URLs and Paths'!$D$6, 3.5,
G157='URLs and Paths'!$D$7, 3,
G157='URLs and Paths'!$D$8, 2.5,
G157='URLs and Paths'!$D$9, 2,
G157='URLs and Paths'!$D$10, 1.5,
G157='URLs and Paths'!$D$11, 1)</f>
        <v>4.5</v>
      </c>
      <c r="I157" s="3"/>
    </row>
    <row r="158">
      <c r="A158" s="15" t="str">
        <f>IFERROR(__xludf.DUMMYFUNCTION("""COMPUTED_VALUE"""),"fas fa-star search star-rating")</f>
        <v>fas fa-star search star-rating</v>
      </c>
      <c r="B158" s="6"/>
      <c r="C158" s="6"/>
      <c r="D158" s="13"/>
      <c r="E158" s="6"/>
      <c r="F158" s="16"/>
      <c r="G158" s="6"/>
      <c r="H158" s="6"/>
      <c r="I158" s="3"/>
    </row>
    <row r="159">
      <c r="A159" s="15" t="str">
        <f>IFERROR(__xludf.DUMMYFUNCTION("""COMPUTED_VALUE"""),"fas fa-star search star-rating")</f>
        <v>fas fa-star search star-rating</v>
      </c>
      <c r="B159" s="6"/>
      <c r="C159" s="6"/>
      <c r="D159" s="13"/>
      <c r="E159" s="6"/>
      <c r="F159" s="16"/>
      <c r="G159" s="6"/>
      <c r="H159" s="6"/>
      <c r="I159" s="3"/>
    </row>
    <row r="160">
      <c r="A160" s="15" t="str">
        <f>IFERROR(__xludf.DUMMYFUNCTION("""COMPUTED_VALUE"""),"fas fa-star search star-rating")</f>
        <v>fas fa-star search star-rating</v>
      </c>
      <c r="B160" s="6"/>
      <c r="C160" s="6"/>
      <c r="D160" s="13"/>
      <c r="E160" s="6"/>
      <c r="F160" s="16"/>
      <c r="G160" s="6"/>
      <c r="H160" s="6"/>
      <c r="I160" s="3"/>
    </row>
    <row r="161">
      <c r="A161" s="15" t="str">
        <f>IFERROR(__xludf.DUMMYFUNCTION("""COMPUTED_VALUE"""),"fas fa-star search star-rating")</f>
        <v>fas fa-star search star-rating</v>
      </c>
      <c r="B161" s="6"/>
      <c r="C161" s="6"/>
      <c r="D161" s="13"/>
      <c r="E161" s="6"/>
      <c r="F161" s="16"/>
      <c r="G161" s="6"/>
      <c r="H161" s="6"/>
      <c r="I161" s="3"/>
    </row>
    <row r="162">
      <c r="A162" s="15" t="str">
        <f>IFERROR(__xludf.DUMMYFUNCTION("""COMPUTED_VALUE"""),"fas fa-star-half search star-rating")</f>
        <v>fas fa-star-half search star-rating</v>
      </c>
      <c r="B162" s="6"/>
      <c r="C162" s="6"/>
      <c r="D162" s="13"/>
      <c r="E162" s="6"/>
      <c r="F162" s="16"/>
      <c r="G162" s="6"/>
      <c r="H162" s="6"/>
      <c r="I162" s="3"/>
    </row>
    <row r="163">
      <c r="A163" s="4" t="str">
        <f>IFERROR(__xludf.DUMMYFUNCTION("""COMPUTED_VALUE"""),"https://www.restomontreal.ca/resto/au-tarot-montreal/1641/en/")</f>
        <v>https://www.restomontreal.ca/resto/au-tarot-montreal/1641/en/</v>
      </c>
      <c r="B163" s="6"/>
      <c r="C163" s="6"/>
      <c r="D163" s="13"/>
      <c r="E163" s="6"/>
      <c r="F163" s="16"/>
      <c r="G163" s="6"/>
      <c r="H163" s="6"/>
      <c r="I163" s="3"/>
    </row>
    <row r="164">
      <c r="A164" s="7" t="str">
        <f>IFERROR(__xludf.DUMMYFUNCTION("""COMPUTED_VALUE""")," Au Tarot ")</f>
        <v> Au Tarot </v>
      </c>
      <c r="B164" s="8" t="str">
        <f>IFERROR(__xludf.DUMMYFUNCTION("IMPORTXML(A163,'URLs and Paths'!$B$4)"),"$$ &amp; $$$")</f>
        <v>$$ &amp; $$$</v>
      </c>
      <c r="C164" s="8">
        <f>IFS(B164="$", 10,
  B164="$$", 25,
  B164="$$$", 37.5,
  B164="$ &amp; $$", 17.5,
  B164="$ &amp; $$$", 23.75,
  B164="$$ &amp; $$$", 31.25
)</f>
        <v>31.25</v>
      </c>
      <c r="D164" s="5" t="str">
        <f>IFERROR(__xludf.DUMMYFUNCTION("IMPORTXML(A163,'URLs and Paths'!$B$5)"),"  Master Card, Visa, Interac")</f>
        <v>  Master Card, Visa, Interac</v>
      </c>
      <c r="E164" s="8" t="str">
        <f>IFERROR(__xludf.DUMMYFUNCTION("IMPORTXML(A163,'URLs and Paths'!$B$6)"),"500 Rue Marie-Anne E, Montreal, H2J 2A3")</f>
        <v>500 Rue Marie-Anne E, Montreal, H2J 2A3</v>
      </c>
      <c r="F164" s="9" t="str">
        <f>IFERROR(__xludf.DUMMYFUNCTION("IMAGE(IMPORTXML(A163,'URLs and Paths'!$B$7))"),"")</f>
        <v/>
      </c>
      <c r="G164" s="10" t="str">
        <f>TEXTJOIN(",",TRUE,A165:A169)</f>
        <v>fas fa-star search star-rating,fas fa-star search star-rating,fas fa-star search star-rating,fas fa-star search star-rating,fas fa-star search star-rating</v>
      </c>
      <c r="H164" s="6">
        <f>IFS(G164 = 'URLs and Paths'!$D$3,5, 
G164='URLs and Paths'!$D$4, 4.5,
G164='URLs and Paths'!$D$5, 4,
G164='URLs and Paths'!$D$6, 3.5,
G164='URLs and Paths'!$D$7, 3,
G164='URLs and Paths'!$D$8, 2.5,
G164='URLs and Paths'!$D$9, 2,
G164='URLs and Paths'!$D$10, 1.5,
G164='URLs and Paths'!$D$11, 1)</f>
        <v>5</v>
      </c>
      <c r="I164" s="3"/>
    </row>
    <row r="165">
      <c r="A165" s="15" t="str">
        <f>IFERROR(__xludf.DUMMYFUNCTION("""COMPUTED_VALUE"""),"fas fa-star search star-rating")</f>
        <v>fas fa-star search star-rating</v>
      </c>
      <c r="B165" s="6"/>
      <c r="C165" s="6"/>
      <c r="D165" s="13"/>
      <c r="E165" s="6"/>
      <c r="F165" s="16"/>
      <c r="G165" s="6"/>
      <c r="H165" s="6"/>
      <c r="I165" s="3"/>
    </row>
    <row r="166">
      <c r="A166" s="15" t="str">
        <f>IFERROR(__xludf.DUMMYFUNCTION("""COMPUTED_VALUE"""),"fas fa-star search star-rating")</f>
        <v>fas fa-star search star-rating</v>
      </c>
      <c r="B166" s="6"/>
      <c r="C166" s="6"/>
      <c r="D166" s="13"/>
      <c r="E166" s="6"/>
      <c r="F166" s="16"/>
      <c r="G166" s="6"/>
      <c r="H166" s="6"/>
      <c r="I166" s="3"/>
    </row>
    <row r="167">
      <c r="A167" s="15" t="str">
        <f>IFERROR(__xludf.DUMMYFUNCTION("""COMPUTED_VALUE"""),"fas fa-star search star-rating")</f>
        <v>fas fa-star search star-rating</v>
      </c>
      <c r="B167" s="6"/>
      <c r="C167" s="6"/>
      <c r="D167" s="13"/>
      <c r="E167" s="6"/>
      <c r="F167" s="16"/>
      <c r="G167" s="6"/>
      <c r="H167" s="6"/>
      <c r="I167" s="3"/>
    </row>
    <row r="168">
      <c r="A168" s="15" t="str">
        <f>IFERROR(__xludf.DUMMYFUNCTION("""COMPUTED_VALUE"""),"fas fa-star search star-rating")</f>
        <v>fas fa-star search star-rating</v>
      </c>
      <c r="B168" s="6"/>
      <c r="C168" s="6"/>
      <c r="D168" s="13"/>
      <c r="E168" s="6"/>
      <c r="F168" s="16"/>
      <c r="G168" s="6"/>
      <c r="H168" s="6"/>
      <c r="I168" s="3"/>
    </row>
    <row r="169">
      <c r="A169" s="15" t="str">
        <f>IFERROR(__xludf.DUMMYFUNCTION("""COMPUTED_VALUE"""),"fas fa-star search star-rating")</f>
        <v>fas fa-star search star-rating</v>
      </c>
      <c r="B169" s="6"/>
      <c r="C169" s="6"/>
      <c r="D169" s="13"/>
      <c r="E169" s="6"/>
      <c r="F169" s="16"/>
      <c r="G169" s="6"/>
      <c r="H169" s="6"/>
      <c r="I169" s="3"/>
    </row>
    <row r="170">
      <c r="A170" s="4" t="str">
        <f>IFERROR(__xludf.DUMMYFUNCTION("""COMPUTED_VALUE"""),"https://www.restomontreal.ca/resto/robin-des-bois-montreal/1881/en/")</f>
        <v>https://www.restomontreal.ca/resto/robin-des-bois-montreal/1881/en/</v>
      </c>
      <c r="B170" s="6"/>
      <c r="C170" s="6"/>
      <c r="D170" s="13"/>
      <c r="E170" s="6"/>
      <c r="F170" s="16"/>
      <c r="G170" s="6"/>
      <c r="H170" s="6"/>
      <c r="I170" s="3"/>
    </row>
    <row r="171">
      <c r="A171" s="7" t="str">
        <f>IFERROR(__xludf.DUMMYFUNCTION("""COMPUTED_VALUE""")," Robin des Bois ")</f>
        <v> Robin des Bois </v>
      </c>
      <c r="B171" s="8" t="str">
        <f>IFERROR(__xludf.DUMMYFUNCTION("IMPORTXML(A170,'URLs and Paths'!$B$4)"),"$$")</f>
        <v>$$</v>
      </c>
      <c r="C171" s="8">
        <f>IFS(B171="$", 10,
  B171="$$", 25,
  B171="$$$", 37.5,
  B171="$ &amp; $$", 17.5,
  B171="$ &amp; $$$", 23.75,
  B171="$$ &amp; $$$", 31.25
)</f>
        <v>25</v>
      </c>
      <c r="D171" s="5" t="str">
        <f>IFERROR(__xludf.DUMMYFUNCTION("IMPORTXML(A170,'URLs and Paths'!$B$5)"),"  Master Card, Visa, Interac")</f>
        <v>  Master Card, Visa, Interac</v>
      </c>
      <c r="E171" s="8" t="str">
        <f>IFERROR(__xludf.DUMMYFUNCTION("IMPORTXML(A170,'URLs and Paths'!$B$6)"),"3933 Avenue du Parc la Fontaine, Montreal, H2L 0C7")</f>
        <v>3933 Avenue du Parc la Fontaine, Montreal, H2L 0C7</v>
      </c>
      <c r="F171" s="9" t="str">
        <f>IFERROR(__xludf.DUMMYFUNCTION("IMAGE(IMPORTXML(A170,'URLs and Paths'!$B$7))"),"")</f>
        <v/>
      </c>
      <c r="G171" s="10" t="str">
        <f>TEXTJOIN(",",TRUE,A172:A176)</f>
        <v>fas fa-star search star-rating,fas fa-star search star-rating,fas fa-star search star-rating,fas fa-star search star-rating,fas fa-star-half search star-rating</v>
      </c>
      <c r="H171" s="6">
        <f>IFS(G171 = 'URLs and Paths'!$D$3,5, 
G171='URLs and Paths'!$D$4, 4.5,
G171='URLs and Paths'!$D$5, 4,
G171='URLs and Paths'!$D$6, 3.5,
G171='URLs and Paths'!$D$7, 3,
G171='URLs and Paths'!$D$8, 2.5,
G171='URLs and Paths'!$D$9, 2,
G171='URLs and Paths'!$D$10, 1.5,
G171='URLs and Paths'!$D$11, 1)</f>
        <v>4.5</v>
      </c>
      <c r="I171" s="3"/>
    </row>
    <row r="172">
      <c r="A172" s="15" t="str">
        <f>IFERROR(__xludf.DUMMYFUNCTION("""COMPUTED_VALUE"""),"fas fa-star search star-rating")</f>
        <v>fas fa-star search star-rating</v>
      </c>
      <c r="B172" s="6"/>
      <c r="C172" s="6"/>
      <c r="D172" s="13"/>
      <c r="E172" s="6"/>
      <c r="F172" s="16"/>
      <c r="G172" s="6"/>
      <c r="H172" s="6"/>
      <c r="I172" s="3"/>
    </row>
    <row r="173">
      <c r="A173" s="15" t="str">
        <f>IFERROR(__xludf.DUMMYFUNCTION("""COMPUTED_VALUE"""),"fas fa-star search star-rating")</f>
        <v>fas fa-star search star-rating</v>
      </c>
      <c r="B173" s="6"/>
      <c r="C173" s="6"/>
      <c r="D173" s="13"/>
      <c r="E173" s="6"/>
      <c r="F173" s="16"/>
      <c r="G173" s="6"/>
      <c r="H173" s="6"/>
      <c r="I173" s="3"/>
    </row>
    <row r="174">
      <c r="A174" s="15" t="str">
        <f>IFERROR(__xludf.DUMMYFUNCTION("""COMPUTED_VALUE"""),"fas fa-star search star-rating")</f>
        <v>fas fa-star search star-rating</v>
      </c>
      <c r="B174" s="6"/>
      <c r="C174" s="6"/>
      <c r="D174" s="13"/>
      <c r="E174" s="6"/>
      <c r="F174" s="16"/>
      <c r="G174" s="6"/>
      <c r="H174" s="6"/>
      <c r="I174" s="3"/>
    </row>
    <row r="175">
      <c r="A175" s="15" t="str">
        <f>IFERROR(__xludf.DUMMYFUNCTION("""COMPUTED_VALUE"""),"fas fa-star search star-rating")</f>
        <v>fas fa-star search star-rating</v>
      </c>
      <c r="B175" s="6"/>
      <c r="C175" s="6"/>
      <c r="D175" s="13"/>
      <c r="E175" s="6"/>
      <c r="F175" s="16"/>
      <c r="G175" s="6"/>
      <c r="H175" s="6"/>
      <c r="I175" s="3"/>
    </row>
    <row r="176">
      <c r="A176" s="15" t="str">
        <f>IFERROR(__xludf.DUMMYFUNCTION("""COMPUTED_VALUE"""),"fas fa-star-half search star-rating")</f>
        <v>fas fa-star-half search star-rating</v>
      </c>
      <c r="B176" s="6"/>
      <c r="C176" s="6"/>
      <c r="D176" s="13"/>
      <c r="E176" s="6"/>
      <c r="F176" s="16"/>
      <c r="G176" s="6"/>
      <c r="H176" s="6"/>
      <c r="I176" s="3"/>
    </row>
    <row r="177">
      <c r="A177" s="4" t="str">
        <f>IFERROR(__xludf.DUMMYFUNCTION("""COMPUTED_VALUE"""),"https://www.restomontreal.ca/resto/a-larret-montreal/20297/en/")</f>
        <v>https://www.restomontreal.ca/resto/a-larret-montreal/20297/en/</v>
      </c>
      <c r="B177" s="6"/>
      <c r="C177" s="6"/>
      <c r="D177" s="13"/>
      <c r="E177" s="6"/>
      <c r="F177" s="16"/>
      <c r="G177" s="6"/>
      <c r="H177" s="6"/>
      <c r="I177" s="3"/>
    </row>
    <row r="178">
      <c r="A178" s="7" t="str">
        <f>IFERROR(__xludf.DUMMYFUNCTION("""COMPUTED_VALUE""")," À L'ARRÊT ")</f>
        <v> À L'ARRÊT </v>
      </c>
      <c r="B178" s="8" t="str">
        <f>IFERROR(__xludf.DUMMYFUNCTION("IMPORTXML(A177,'URLs and Paths'!$B$4)"),"$ &amp; $$")</f>
        <v>$ &amp; $$</v>
      </c>
      <c r="C178" s="8">
        <f>IFS(B178="$", 10,
  B178="$$", 25,
  B178="$$$", 37.5,
  B178="$ &amp; $$", 17.5,
  B178="$ &amp; $$$", 23.75,
  B178="$$ &amp; $$$", 31.25
)</f>
        <v>17.5</v>
      </c>
      <c r="D178" s="5" t="str">
        <f>IFERROR(__xludf.DUMMYFUNCTION("IMPORTXML(A177,'URLs and Paths'!$B$5)"),"  Master Card, Visa, AMEX, Interac, Mobile Payment, Contactless Payment")</f>
        <v>  Master Card, Visa, AMEX, Interac, Mobile Payment, Contactless Payment</v>
      </c>
      <c r="E178" s="8" t="str">
        <f>IFERROR(__xludf.DUMMYFUNCTION("IMPORTXML(A177,'URLs and Paths'!$B$6)"),"3833 Boulevard Saint-Laurent, Montreal, H2W 1X9")</f>
        <v>3833 Boulevard Saint-Laurent, Montreal, H2W 1X9</v>
      </c>
      <c r="F178" s="9" t="str">
        <f>IFERROR(__xludf.DUMMYFUNCTION("IMAGE(IMPORTXML(A177,'URLs and Paths'!$B$7))"),"")</f>
        <v/>
      </c>
      <c r="G178" s="10" t="str">
        <f>TEXTJOIN(",",TRUE,A179:A183)</f>
        <v>fas fa-star search star-rating,fas fa-star search star-rating,fas fa-star search star-rating,fas fa-star search star-rating,fas fa-star-half search star-rating</v>
      </c>
      <c r="H178" s="6">
        <f>IFS(G178 = 'URLs and Paths'!$D$3,5, 
G178='URLs and Paths'!$D$4, 4.5,
G178='URLs and Paths'!$D$5, 4,
G178='URLs and Paths'!$D$6, 3.5,
G178='URLs and Paths'!$D$7, 3,
G178='URLs and Paths'!$D$8, 2.5,
G178='URLs and Paths'!$D$9, 2,
G178='URLs and Paths'!$D$10, 1.5,
G178='URLs and Paths'!$D$11, 1)</f>
        <v>4.5</v>
      </c>
      <c r="I178" s="3"/>
    </row>
    <row r="179">
      <c r="A179" s="15" t="str">
        <f>IFERROR(__xludf.DUMMYFUNCTION("""COMPUTED_VALUE"""),"fas fa-star search star-rating")</f>
        <v>fas fa-star search star-rating</v>
      </c>
      <c r="B179" s="6"/>
      <c r="C179" s="6"/>
      <c r="D179" s="13"/>
      <c r="E179" s="6"/>
      <c r="F179" s="16"/>
      <c r="G179" s="6"/>
      <c r="H179" s="6"/>
      <c r="I179" s="3"/>
    </row>
    <row r="180">
      <c r="A180" s="15" t="str">
        <f>IFERROR(__xludf.DUMMYFUNCTION("""COMPUTED_VALUE"""),"fas fa-star search star-rating")</f>
        <v>fas fa-star search star-rating</v>
      </c>
      <c r="B180" s="6"/>
      <c r="C180" s="6"/>
      <c r="D180" s="13"/>
      <c r="E180" s="6"/>
      <c r="F180" s="16"/>
      <c r="G180" s="6"/>
      <c r="H180" s="6"/>
      <c r="I180" s="3"/>
    </row>
    <row r="181">
      <c r="A181" s="15" t="str">
        <f>IFERROR(__xludf.DUMMYFUNCTION("""COMPUTED_VALUE"""),"fas fa-star search star-rating")</f>
        <v>fas fa-star search star-rating</v>
      </c>
      <c r="B181" s="6"/>
      <c r="C181" s="6"/>
      <c r="D181" s="13"/>
      <c r="E181" s="6"/>
      <c r="F181" s="16"/>
      <c r="G181" s="6"/>
      <c r="H181" s="6"/>
      <c r="I181" s="3"/>
    </row>
    <row r="182">
      <c r="A182" s="15" t="str">
        <f>IFERROR(__xludf.DUMMYFUNCTION("""COMPUTED_VALUE"""),"fas fa-star search star-rating")</f>
        <v>fas fa-star search star-rating</v>
      </c>
      <c r="B182" s="6"/>
      <c r="C182" s="6"/>
      <c r="D182" s="13"/>
      <c r="E182" s="6"/>
      <c r="F182" s="16"/>
      <c r="G182" s="6"/>
      <c r="H182" s="6"/>
      <c r="I182" s="3"/>
    </row>
    <row r="183">
      <c r="A183" s="15" t="str">
        <f>IFERROR(__xludf.DUMMYFUNCTION("""COMPUTED_VALUE"""),"fas fa-star-half search star-rating")</f>
        <v>fas fa-star-half search star-rating</v>
      </c>
      <c r="B183" s="6"/>
      <c r="C183" s="6"/>
      <c r="D183" s="13"/>
      <c r="E183" s="6"/>
      <c r="F183" s="16"/>
      <c r="G183" s="6"/>
      <c r="H183" s="6"/>
      <c r="I183" s="3"/>
    </row>
    <row r="184">
      <c r="A184" s="4" t="str">
        <f>IFERROR(__xludf.DUMMYFUNCTION("""COMPUTED_VALUE"""),"https://www.restomontreal.ca/resto/la-petite-marche-montreal/1099/en/")</f>
        <v>https://www.restomontreal.ca/resto/la-petite-marche-montreal/1099/en/</v>
      </c>
      <c r="B184" s="6"/>
      <c r="C184" s="6"/>
      <c r="D184" s="13"/>
      <c r="E184" s="6"/>
      <c r="F184" s="16"/>
      <c r="G184" s="6"/>
      <c r="H184" s="6"/>
      <c r="I184" s="3"/>
    </row>
    <row r="185">
      <c r="A185" s="7" t="str">
        <f>IFERROR(__xludf.DUMMYFUNCTION("""COMPUTED_VALUE""")," La Petite Marche ")</f>
        <v> La Petite Marche </v>
      </c>
      <c r="B185" s="8" t="str">
        <f>IFERROR(__xludf.DUMMYFUNCTION("IMPORTXML(A184,'URLs and Paths'!$B$4)"),"Loading...")</f>
        <v>Loading...</v>
      </c>
      <c r="C185" s="8" t="str">
        <f>IFS(B185="$", 10,
  B185="$$", 25,
  B185="$$$", 37.5,
  B185="$ &amp; $$", 17.5,
  B185="$ &amp; $$$", 23.75,
  B185="$$ &amp; $$$", 31.25
)</f>
        <v>Loading...</v>
      </c>
      <c r="D185" s="5" t="str">
        <f>IFERROR(__xludf.DUMMYFUNCTION("IMPORTXML(A184,'URLs and Paths'!$B$5)"),"Loading...")</f>
        <v>Loading...</v>
      </c>
      <c r="E185" s="8" t="str">
        <f>IFERROR(__xludf.DUMMYFUNCTION("IMPORTXML(A184,'URLs and Paths'!$B$6)"),"Loading...")</f>
        <v>Loading...</v>
      </c>
      <c r="F185" s="9" t="str">
        <f>IFERROR(__xludf.DUMMYFUNCTION("IMAGE(IMPORTXML(A184,'URLs and Paths'!$B$7))"),"Loading...")</f>
        <v>Loading...</v>
      </c>
      <c r="G185" s="10" t="str">
        <f>TEXTJOIN(",",TRUE,A186:A190)</f>
        <v>fas fa-star search star-rating,fas fa-star search star-rating,fas fa-star search star-rating,fas fa-star search star-rating,fas fa-star-half search star-rating</v>
      </c>
      <c r="H185" s="6">
        <f>IFS(G185 = 'URLs and Paths'!$D$3,5, 
G185='URLs and Paths'!$D$4, 4.5,
G185='URLs and Paths'!$D$5, 4,
G185='URLs and Paths'!$D$6, 3.5,
G185='URLs and Paths'!$D$7, 3,
G185='URLs and Paths'!$D$8, 2.5,
G185='URLs and Paths'!$D$9, 2,
G185='URLs and Paths'!$D$10, 1.5,
G185='URLs and Paths'!$D$11, 1)</f>
        <v>4.5</v>
      </c>
      <c r="I185" s="3"/>
    </row>
    <row r="186">
      <c r="A186" s="15" t="str">
        <f>IFERROR(__xludf.DUMMYFUNCTION("""COMPUTED_VALUE"""),"fas fa-star search star-rating")</f>
        <v>fas fa-star search star-rating</v>
      </c>
      <c r="B186" s="6"/>
      <c r="C186" s="6"/>
      <c r="D186" s="13"/>
      <c r="E186" s="6"/>
      <c r="F186" s="16"/>
      <c r="G186" s="6"/>
      <c r="H186" s="6"/>
      <c r="I186" s="3"/>
    </row>
    <row r="187">
      <c r="A187" s="15" t="str">
        <f>IFERROR(__xludf.DUMMYFUNCTION("""COMPUTED_VALUE"""),"fas fa-star search star-rating")</f>
        <v>fas fa-star search star-rating</v>
      </c>
      <c r="B187" s="6"/>
      <c r="C187" s="6"/>
      <c r="D187" s="13"/>
      <c r="E187" s="6"/>
      <c r="F187" s="16"/>
      <c r="G187" s="6"/>
      <c r="H187" s="6"/>
      <c r="I187" s="3"/>
    </row>
    <row r="188">
      <c r="A188" s="15" t="str">
        <f>IFERROR(__xludf.DUMMYFUNCTION("""COMPUTED_VALUE"""),"fas fa-star search star-rating")</f>
        <v>fas fa-star search star-rating</v>
      </c>
      <c r="B188" s="6"/>
      <c r="C188" s="6"/>
      <c r="D188" s="13"/>
      <c r="E188" s="6"/>
      <c r="F188" s="16"/>
      <c r="G188" s="6"/>
      <c r="H188" s="6"/>
      <c r="I188" s="3"/>
    </row>
    <row r="189">
      <c r="A189" s="15" t="str">
        <f>IFERROR(__xludf.DUMMYFUNCTION("""COMPUTED_VALUE"""),"fas fa-star search star-rating")</f>
        <v>fas fa-star search star-rating</v>
      </c>
      <c r="B189" s="6"/>
      <c r="C189" s="6"/>
      <c r="D189" s="13"/>
      <c r="E189" s="6"/>
      <c r="F189" s="16"/>
      <c r="G189" s="6"/>
      <c r="H189" s="6"/>
      <c r="I189" s="3"/>
    </row>
    <row r="190">
      <c r="A190" s="15" t="str">
        <f>IFERROR(__xludf.DUMMYFUNCTION("""COMPUTED_VALUE"""),"fas fa-star-half search star-rating")</f>
        <v>fas fa-star-half search star-rating</v>
      </c>
      <c r="B190" s="6"/>
      <c r="C190" s="6"/>
      <c r="D190" s="13"/>
      <c r="E190" s="6"/>
      <c r="F190" s="16"/>
      <c r="G190" s="6"/>
      <c r="H190" s="6"/>
      <c r="I190" s="3"/>
    </row>
    <row r="191">
      <c r="A191" s="4" t="str">
        <f>IFERROR(__xludf.DUMMYFUNCTION("""COMPUTED_VALUE"""),"https://www.restomontreal.ca/resto/greasy-spoon-montreal/2650/en/")</f>
        <v>https://www.restomontreal.ca/resto/greasy-spoon-montreal/2650/en/</v>
      </c>
      <c r="B191" s="6"/>
      <c r="C191" s="6"/>
      <c r="D191" s="13"/>
      <c r="E191" s="6"/>
      <c r="F191" s="16"/>
      <c r="G191" s="6"/>
      <c r="H191" s="6"/>
      <c r="I191" s="3"/>
    </row>
    <row r="192">
      <c r="A192" s="7" t="str">
        <f>IFERROR(__xludf.DUMMYFUNCTION("""COMPUTED_VALUE""")," Greasy Spoon ")</f>
        <v> Greasy Spoon </v>
      </c>
      <c r="B192" s="8" t="str">
        <f>IFERROR(__xludf.DUMMYFUNCTION("IMPORTXML(A191,'URLs and Paths'!$B$4)"),"Loading...")</f>
        <v>Loading...</v>
      </c>
      <c r="C192" s="8" t="str">
        <f>IFS(B192="$", 10,
  B192="$$", 25,
  B192="$$$", 37.5,
  B192="$ &amp; $$", 17.5,
  B192="$ &amp; $$$", 23.75,
  B192="$$ &amp; $$$", 31.25
)</f>
        <v>Loading...</v>
      </c>
      <c r="D192" s="5" t="str">
        <f>IFERROR(__xludf.DUMMYFUNCTION("IMPORTXML(A191,'URLs and Paths'!$B$5)"),"Loading...")</f>
        <v>Loading...</v>
      </c>
      <c r="E192" s="8" t="str">
        <f>IFERROR(__xludf.DUMMYFUNCTION("IMPORTXML(A191,'URLs and Paths'!$B$6)"),"Loading...")</f>
        <v>Loading...</v>
      </c>
      <c r="F192" s="9" t="str">
        <f>IFERROR(__xludf.DUMMYFUNCTION("IMAGE(IMPORTXML(A191,'URLs and Paths'!$B$7))"),"Loading...")</f>
        <v>Loading...</v>
      </c>
      <c r="G192" s="10" t="str">
        <f>TEXTJOIN(",",TRUE,A193:A197)</f>
        <v>fas fa-star search star-rating,fas fa-star search star-rating,fas fa-star search star-rating,fas fa-star search star-rating,fas fa-star search star-rating</v>
      </c>
      <c r="H192" s="6">
        <f>IFS(G192 = 'URLs and Paths'!$D$3,5, 
G192='URLs and Paths'!$D$4, 4.5,
G192='URLs and Paths'!$D$5, 4,
G192='URLs and Paths'!$D$6, 3.5,
G192='URLs and Paths'!$D$7, 3,
G192='URLs and Paths'!$D$8, 2.5,
G192='URLs and Paths'!$D$9, 2,
G192='URLs and Paths'!$D$10, 1.5,
G192='URLs and Paths'!$D$11, 1)</f>
        <v>5</v>
      </c>
      <c r="I192" s="3"/>
    </row>
    <row r="193">
      <c r="A193" s="15" t="str">
        <f>IFERROR(__xludf.DUMMYFUNCTION("""COMPUTED_VALUE"""),"fas fa-star search star-rating")</f>
        <v>fas fa-star search star-rating</v>
      </c>
      <c r="B193" s="6"/>
      <c r="C193" s="6"/>
      <c r="D193" s="13"/>
      <c r="E193" s="6"/>
      <c r="F193" s="16"/>
      <c r="G193" s="6"/>
      <c r="H193" s="6"/>
      <c r="I193" s="3"/>
    </row>
    <row r="194">
      <c r="A194" s="15" t="str">
        <f>IFERROR(__xludf.DUMMYFUNCTION("""COMPUTED_VALUE"""),"fas fa-star search star-rating")</f>
        <v>fas fa-star search star-rating</v>
      </c>
      <c r="B194" s="6"/>
      <c r="C194" s="6"/>
      <c r="D194" s="13"/>
      <c r="E194" s="6"/>
      <c r="F194" s="16"/>
      <c r="G194" s="6"/>
      <c r="H194" s="6"/>
      <c r="I194" s="3"/>
    </row>
    <row r="195">
      <c r="A195" s="15" t="str">
        <f>IFERROR(__xludf.DUMMYFUNCTION("""COMPUTED_VALUE"""),"fas fa-star search star-rating")</f>
        <v>fas fa-star search star-rating</v>
      </c>
      <c r="B195" s="6"/>
      <c r="C195" s="6"/>
      <c r="D195" s="13"/>
      <c r="E195" s="6"/>
      <c r="F195" s="16"/>
      <c r="G195" s="6"/>
      <c r="H195" s="6"/>
      <c r="I195" s="3"/>
    </row>
    <row r="196">
      <c r="A196" s="15" t="str">
        <f>IFERROR(__xludf.DUMMYFUNCTION("""COMPUTED_VALUE"""),"fas fa-star search star-rating")</f>
        <v>fas fa-star search star-rating</v>
      </c>
      <c r="B196" s="6"/>
      <c r="C196" s="6"/>
      <c r="D196" s="13"/>
      <c r="E196" s="6"/>
      <c r="F196" s="16"/>
      <c r="G196" s="6"/>
      <c r="H196" s="6"/>
      <c r="I196" s="3"/>
    </row>
    <row r="197">
      <c r="A197" s="15" t="str">
        <f>IFERROR(__xludf.DUMMYFUNCTION("""COMPUTED_VALUE"""),"fas fa-star search star-rating")</f>
        <v>fas fa-star search star-rating</v>
      </c>
      <c r="B197" s="6"/>
      <c r="C197" s="6"/>
      <c r="D197" s="13"/>
      <c r="E197" s="6"/>
      <c r="F197" s="16"/>
      <c r="G197" s="6"/>
      <c r="H197" s="6"/>
      <c r="I197" s="3"/>
    </row>
    <row r="198">
      <c r="A198" s="4" t="str">
        <f>IFERROR(__xludf.DUMMYFUNCTION("""COMPUTED_VALUE"""),"https://www.restomontreal.ca/resto/caribou-gourmand-montreal/10879/en/")</f>
        <v>https://www.restomontreal.ca/resto/caribou-gourmand-montreal/10879/en/</v>
      </c>
      <c r="B198" s="6"/>
      <c r="C198" s="6"/>
      <c r="D198" s="13"/>
      <c r="E198" s="6"/>
      <c r="F198" s="16"/>
      <c r="G198" s="6"/>
      <c r="H198" s="6"/>
      <c r="I198" s="3"/>
    </row>
    <row r="199">
      <c r="A199" s="7" t="str">
        <f>IFERROR(__xludf.DUMMYFUNCTION("""COMPUTED_VALUE""")," Caribou Gourmand ")</f>
        <v> Caribou Gourmand </v>
      </c>
      <c r="B199" s="8" t="str">
        <f>IFERROR(__xludf.DUMMYFUNCTION("IMPORTXML(A198,'URLs and Paths'!$B$4)"),"Loading...")</f>
        <v>Loading...</v>
      </c>
      <c r="C199" s="8" t="str">
        <f>IFS(B199="$", 10,
  B199="$$", 25,
  B199="$$$", 37.5,
  B199="$ &amp; $$", 17.5,
  B199="$ &amp; $$$", 23.75,
  B199="$$ &amp; $$$", 31.25
)</f>
        <v>Loading...</v>
      </c>
      <c r="D199" s="5" t="str">
        <f>IFERROR(__xludf.DUMMYFUNCTION("IMPORTXML(A198,'URLs and Paths'!$B$5)"),"Loading...")</f>
        <v>Loading...</v>
      </c>
      <c r="E199" s="8" t="str">
        <f>IFERROR(__xludf.DUMMYFUNCTION("IMPORTXML(A198,'URLs and Paths'!$B$6)"),"Loading...")</f>
        <v>Loading...</v>
      </c>
      <c r="F199" s="9" t="str">
        <f>IFERROR(__xludf.DUMMYFUNCTION("IMAGE(IMPORTXML(A198,'URLs and Paths'!$B$7))"),"Loading...")</f>
        <v>Loading...</v>
      </c>
      <c r="G199" s="10" t="str">
        <f>TEXTJOIN(",",TRUE,A200:A204)</f>
        <v>fas fa-star search star-rating,fas fa-star search star-rating,fas fa-star search star-rating,fas fa-star search star-rating,fas fa-star-half search star-rating</v>
      </c>
      <c r="H199" s="6">
        <f>IFS(G199 = 'URLs and Paths'!$D$3,5, 
G199='URLs and Paths'!$D$4, 4.5,
G199='URLs and Paths'!$D$5, 4,
G199='URLs and Paths'!$D$6, 3.5,
G199='URLs and Paths'!$D$7, 3,
G199='URLs and Paths'!$D$8, 2.5,
G199='URLs and Paths'!$D$9, 2,
G199='URLs and Paths'!$D$10, 1.5,
G199='URLs and Paths'!$D$11, 1)</f>
        <v>4.5</v>
      </c>
      <c r="I199" s="3"/>
    </row>
    <row r="200">
      <c r="A200" s="15" t="str">
        <f>IFERROR(__xludf.DUMMYFUNCTION("""COMPUTED_VALUE"""),"fas fa-star search star-rating")</f>
        <v>fas fa-star search star-rating</v>
      </c>
      <c r="B200" s="6"/>
      <c r="C200" s="6"/>
      <c r="D200" s="13"/>
      <c r="E200" s="6"/>
      <c r="F200" s="16"/>
      <c r="G200" s="6"/>
      <c r="H200" s="6"/>
      <c r="I200" s="3"/>
    </row>
    <row r="201">
      <c r="A201" s="15" t="str">
        <f>IFERROR(__xludf.DUMMYFUNCTION("""COMPUTED_VALUE"""),"fas fa-star search star-rating")</f>
        <v>fas fa-star search star-rating</v>
      </c>
      <c r="B201" s="6"/>
      <c r="C201" s="6"/>
      <c r="D201" s="13"/>
      <c r="E201" s="6"/>
      <c r="F201" s="16"/>
      <c r="G201" s="6"/>
      <c r="H201" s="6"/>
      <c r="I201" s="3"/>
    </row>
    <row r="202">
      <c r="A202" s="15" t="str">
        <f>IFERROR(__xludf.DUMMYFUNCTION("""COMPUTED_VALUE"""),"fas fa-star search star-rating")</f>
        <v>fas fa-star search star-rating</v>
      </c>
      <c r="B202" s="6"/>
      <c r="C202" s="6"/>
      <c r="D202" s="13"/>
      <c r="E202" s="6"/>
      <c r="F202" s="16"/>
      <c r="G202" s="6"/>
      <c r="H202" s="6"/>
      <c r="I202" s="3"/>
    </row>
    <row r="203">
      <c r="A203" s="15" t="str">
        <f>IFERROR(__xludf.DUMMYFUNCTION("""COMPUTED_VALUE"""),"fas fa-star search star-rating")</f>
        <v>fas fa-star search star-rating</v>
      </c>
      <c r="B203" s="6"/>
      <c r="C203" s="6"/>
      <c r="D203" s="13"/>
      <c r="E203" s="6"/>
      <c r="F203" s="16"/>
      <c r="G203" s="6"/>
      <c r="H203" s="6"/>
      <c r="I203" s="3"/>
    </row>
    <row r="204">
      <c r="A204" s="15" t="str">
        <f>IFERROR(__xludf.DUMMYFUNCTION("""COMPUTED_VALUE"""),"fas fa-star-half search star-rating")</f>
        <v>fas fa-star-half search star-rating</v>
      </c>
      <c r="B204" s="6"/>
      <c r="C204" s="6"/>
      <c r="D204" s="13"/>
      <c r="E204" s="6"/>
      <c r="F204" s="16"/>
      <c r="G204" s="6"/>
      <c r="H204" s="6"/>
      <c r="I204" s="3"/>
    </row>
    <row r="205">
      <c r="A205" s="4" t="str">
        <f>IFERROR(__xludf.DUMMYFUNCTION("""COMPUTED_VALUE"""),"https://www.restomontreal.ca/resto/loeufrier-montreal/2821/en/")</f>
        <v>https://www.restomontreal.ca/resto/loeufrier-montreal/2821/en/</v>
      </c>
      <c r="B205" s="6"/>
      <c r="C205" s="6"/>
      <c r="D205" s="13"/>
      <c r="E205" s="6"/>
      <c r="F205" s="16"/>
      <c r="G205" s="6"/>
      <c r="H205" s="6"/>
      <c r="I205" s="3"/>
    </row>
    <row r="206">
      <c r="A206" s="7" t="str">
        <f>IFERROR(__xludf.DUMMYFUNCTION("""COMPUTED_VALUE""")," L'Oeufrier ")</f>
        <v> L'Oeufrier </v>
      </c>
      <c r="B206" s="8" t="str">
        <f>IFERROR(__xludf.DUMMYFUNCTION("IMPORTXML(A205,'URLs and Paths'!$B$4)"),"Loading...")</f>
        <v>Loading...</v>
      </c>
      <c r="C206" s="8" t="str">
        <f>IFS(B206="$", 10,
  B206="$$", 25,
  B206="$$$", 37.5,
  B206="$ &amp; $$", 17.5,
  B206="$ &amp; $$$", 23.75,
  B206="$$ &amp; $$$", 31.25
)</f>
        <v>Loading...</v>
      </c>
      <c r="D206" s="5" t="str">
        <f>IFERROR(__xludf.DUMMYFUNCTION("IMPORTXML(A205,'URLs and Paths'!$B$5)"),"Loading...")</f>
        <v>Loading...</v>
      </c>
      <c r="E206" s="8" t="str">
        <f>IFERROR(__xludf.DUMMYFUNCTION("IMPORTXML(A205,'URLs and Paths'!$B$6)"),"Loading...")</f>
        <v>Loading...</v>
      </c>
      <c r="F206" s="9" t="str">
        <f>IFERROR(__xludf.DUMMYFUNCTION("IMAGE(IMPORTXML(A205,'URLs and Paths'!$B$7))"),"Loading...")</f>
        <v>Loading...</v>
      </c>
      <c r="G206" s="10" t="str">
        <f>TEXTJOIN(",",TRUE,A207:A211)</f>
        <v>fas fa-star search star-rating,fas fa-star search star-rating,fas fa-star search star-rating,fas fa-star search star-rating,fas fa-star-half search star-rating</v>
      </c>
      <c r="H206" s="6">
        <f>IFS(G206 = 'URLs and Paths'!$D$3,5, 
G206='URLs and Paths'!$D$4, 4.5,
G206='URLs and Paths'!$D$5, 4,
G206='URLs and Paths'!$D$6, 3.5,
G206='URLs and Paths'!$D$7, 3,
G206='URLs and Paths'!$D$8, 2.5,
G206='URLs and Paths'!$D$9, 2,
G206='URLs and Paths'!$D$10, 1.5,
G206='URLs and Paths'!$D$11, 1)</f>
        <v>4.5</v>
      </c>
      <c r="I206" s="3"/>
    </row>
    <row r="207">
      <c r="A207" s="15" t="str">
        <f>IFERROR(__xludf.DUMMYFUNCTION("""COMPUTED_VALUE"""),"fas fa-star search star-rating")</f>
        <v>fas fa-star search star-rating</v>
      </c>
      <c r="B207" s="6"/>
      <c r="C207" s="6"/>
      <c r="D207" s="13"/>
      <c r="E207" s="6"/>
      <c r="F207" s="16"/>
      <c r="G207" s="6"/>
      <c r="H207" s="6"/>
      <c r="I207" s="3"/>
    </row>
    <row r="208">
      <c r="A208" s="15" t="str">
        <f>IFERROR(__xludf.DUMMYFUNCTION("""COMPUTED_VALUE"""),"fas fa-star search star-rating")</f>
        <v>fas fa-star search star-rating</v>
      </c>
      <c r="B208" s="6"/>
      <c r="C208" s="6"/>
      <c r="D208" s="13"/>
      <c r="E208" s="6"/>
      <c r="F208" s="16"/>
      <c r="G208" s="6"/>
      <c r="H208" s="6"/>
      <c r="I208" s="3"/>
    </row>
    <row r="209">
      <c r="A209" s="15" t="str">
        <f>IFERROR(__xludf.DUMMYFUNCTION("""COMPUTED_VALUE"""),"fas fa-star search star-rating")</f>
        <v>fas fa-star search star-rating</v>
      </c>
      <c r="B209" s="6"/>
      <c r="C209" s="6"/>
      <c r="D209" s="13"/>
      <c r="E209" s="6"/>
      <c r="F209" s="16"/>
      <c r="G209" s="6"/>
      <c r="H209" s="6"/>
      <c r="I209" s="3"/>
    </row>
    <row r="210">
      <c r="A210" s="15" t="str">
        <f>IFERROR(__xludf.DUMMYFUNCTION("""COMPUTED_VALUE"""),"fas fa-star search star-rating")</f>
        <v>fas fa-star search star-rating</v>
      </c>
      <c r="B210" s="6"/>
      <c r="C210" s="6"/>
      <c r="D210" s="13"/>
      <c r="E210" s="6"/>
      <c r="F210" s="16"/>
      <c r="G210" s="6"/>
      <c r="H210" s="6"/>
      <c r="I210" s="3"/>
    </row>
    <row r="211">
      <c r="A211" s="15" t="str">
        <f>IFERROR(__xludf.DUMMYFUNCTION("""COMPUTED_VALUE"""),"fas fa-star-half search star-rating")</f>
        <v>fas fa-star-half search star-rating</v>
      </c>
      <c r="B211" s="6"/>
      <c r="C211" s="6"/>
      <c r="D211" s="13"/>
      <c r="E211" s="6"/>
      <c r="F211" s="16"/>
      <c r="G211" s="6"/>
      <c r="H211" s="6"/>
      <c r="I211" s="3"/>
    </row>
    <row r="212">
      <c r="A212" s="4" t="str">
        <f>IFERROR(__xludf.DUMMYFUNCTION("""COMPUTED_VALUE"""),"https://www.restomontreal.ca/resto/rumi-montreal/1982/en/")</f>
        <v>https://www.restomontreal.ca/resto/rumi-montreal/1982/en/</v>
      </c>
      <c r="B212" s="6"/>
      <c r="C212" s="6"/>
      <c r="D212" s="13"/>
      <c r="E212" s="6"/>
      <c r="F212" s="16"/>
      <c r="G212" s="6"/>
      <c r="H212" s="6"/>
      <c r="I212" s="3"/>
    </row>
    <row r="213">
      <c r="A213" s="7" t="str">
        <f>IFERROR(__xludf.DUMMYFUNCTION("""COMPUTED_VALUE""")," Rumi ")</f>
        <v> Rumi </v>
      </c>
      <c r="B213" s="8" t="str">
        <f>IFERROR(__xludf.DUMMYFUNCTION("IMPORTXML(A212,'URLs and Paths'!$B$4)"),"$$ &amp; $$$")</f>
        <v>$$ &amp; $$$</v>
      </c>
      <c r="C213" s="8">
        <f>IFS(B213="$", 10,
  B213="$$", 25,
  B213="$$$", 37.5,
  B213="$ &amp; $$", 17.5,
  B213="$ &amp; $$$", 23.75,
  B213="$$ &amp; $$$", 31.25
)</f>
        <v>31.25</v>
      </c>
      <c r="D213" s="5" t="str">
        <f>IFERROR(__xludf.DUMMYFUNCTION("IMPORTXML(A212,'URLs and Paths'!$B$5)"),"  Master Card, Visa, Interac, Mobile Payment, Contactless Payment")</f>
        <v>  Master Card, Visa, Interac, Mobile Payment, Contactless Payment</v>
      </c>
      <c r="E213" s="8" t="str">
        <f>IFERROR(__xludf.DUMMYFUNCTION("IMPORTXML(A212,'URLs and Paths'!$B$6)"),"Loading...")</f>
        <v>Loading...</v>
      </c>
      <c r="F213" s="9" t="str">
        <f>IFERROR(__xludf.DUMMYFUNCTION("IMAGE(IMPORTXML(A212,'URLs and Paths'!$B$7))"),"")</f>
        <v/>
      </c>
      <c r="G213" s="10" t="str">
        <f>TEXTJOIN(",",TRUE,A214:A218)</f>
        <v>fas fa-star search star-rating,fas fa-star search star-rating,fas fa-star search star-rating,fas fa-star search star-rating,fas fa-star-half search star-rating</v>
      </c>
      <c r="H213" s="6">
        <f>IFS(G213 = 'URLs and Paths'!$D$3,5, 
G213='URLs and Paths'!$D$4, 4.5,
G213='URLs and Paths'!$D$5, 4,
G213='URLs and Paths'!$D$6, 3.5,
G213='URLs and Paths'!$D$7, 3,
G213='URLs and Paths'!$D$8, 2.5,
G213='URLs and Paths'!$D$9, 2,
G213='URLs and Paths'!$D$10, 1.5,
G213='URLs and Paths'!$D$11, 1)</f>
        <v>4.5</v>
      </c>
      <c r="I213" s="3"/>
    </row>
    <row r="214">
      <c r="A214" s="15" t="str">
        <f>IFERROR(__xludf.DUMMYFUNCTION("""COMPUTED_VALUE"""),"fas fa-star search star-rating")</f>
        <v>fas fa-star search star-rating</v>
      </c>
      <c r="B214" s="6"/>
      <c r="C214" s="6"/>
      <c r="D214" s="13"/>
      <c r="E214" s="6"/>
      <c r="F214" s="16"/>
      <c r="G214" s="6"/>
      <c r="H214" s="6"/>
      <c r="I214" s="3"/>
    </row>
    <row r="215">
      <c r="A215" s="15" t="str">
        <f>IFERROR(__xludf.DUMMYFUNCTION("""COMPUTED_VALUE"""),"fas fa-star search star-rating")</f>
        <v>fas fa-star search star-rating</v>
      </c>
      <c r="B215" s="6"/>
      <c r="C215" s="6"/>
      <c r="D215" s="13"/>
      <c r="E215" s="6"/>
      <c r="F215" s="16"/>
      <c r="G215" s="6"/>
      <c r="H215" s="6"/>
      <c r="I215" s="3"/>
    </row>
    <row r="216">
      <c r="A216" s="15" t="str">
        <f>IFERROR(__xludf.DUMMYFUNCTION("""COMPUTED_VALUE"""),"fas fa-star search star-rating")</f>
        <v>fas fa-star search star-rating</v>
      </c>
      <c r="B216" s="6"/>
      <c r="C216" s="6"/>
      <c r="D216" s="13"/>
      <c r="E216" s="6"/>
      <c r="F216" s="16"/>
      <c r="G216" s="6"/>
      <c r="H216" s="6"/>
      <c r="I216" s="3"/>
    </row>
    <row r="217">
      <c r="A217" s="15" t="str">
        <f>IFERROR(__xludf.DUMMYFUNCTION("""COMPUTED_VALUE"""),"fas fa-star search star-rating")</f>
        <v>fas fa-star search star-rating</v>
      </c>
      <c r="B217" s="6"/>
      <c r="C217" s="6"/>
      <c r="D217" s="13"/>
      <c r="E217" s="6"/>
      <c r="F217" s="16"/>
      <c r="G217" s="6"/>
      <c r="H217" s="6"/>
      <c r="I217" s="3"/>
    </row>
    <row r="218">
      <c r="A218" s="15" t="str">
        <f>IFERROR(__xludf.DUMMYFUNCTION("""COMPUTED_VALUE"""),"fas fa-star-half search star-rating")</f>
        <v>fas fa-star-half search star-rating</v>
      </c>
      <c r="B218" s="6"/>
      <c r="C218" s="6"/>
      <c r="D218" s="13"/>
      <c r="E218" s="6"/>
      <c r="F218" s="16"/>
      <c r="G218" s="6"/>
      <c r="H218" s="6"/>
      <c r="I218" s="3"/>
    </row>
    <row r="219">
      <c r="A219" s="4" t="str">
        <f>IFERROR(__xludf.DUMMYFUNCTION("""COMPUTED_VALUE"""),"https://www.restomontreal.ca/resto/sandhu-montreal/1936/en/")</f>
        <v>https://www.restomontreal.ca/resto/sandhu-montreal/1936/en/</v>
      </c>
      <c r="B219" s="6"/>
      <c r="C219" s="6"/>
      <c r="D219" s="13"/>
      <c r="E219" s="6"/>
      <c r="F219" s="16"/>
      <c r="G219" s="6"/>
      <c r="H219" s="6"/>
      <c r="I219" s="3"/>
    </row>
    <row r="220">
      <c r="A220" s="7" t="str">
        <f>IFERROR(__xludf.DUMMYFUNCTION("""COMPUTED_VALUE""")," Sandhu ")</f>
        <v> Sandhu </v>
      </c>
      <c r="B220" s="8" t="str">
        <f>IFERROR(__xludf.DUMMYFUNCTION("IMPORTXML(A219,'URLs and Paths'!$B$4)"),"$$")</f>
        <v>$$</v>
      </c>
      <c r="C220" s="8">
        <f>IFS(B220="$", 10,
  B220="$$", 25,
  B220="$$$", 37.5,
  B220="$ &amp; $$", 17.5,
  B220="$ &amp; $$$", 23.75,
  B220="$$ &amp; $$$", 31.25
)</f>
        <v>25</v>
      </c>
      <c r="D220" s="5" t="str">
        <f>IFERROR(__xludf.DUMMYFUNCTION("IMPORTXML(A219,'URLs and Paths'!$B$5)"),"  Master Card, Visa, AMEX, Interac, ATM machine")</f>
        <v>  Master Card, Visa, AMEX, Interac, ATM machine</v>
      </c>
      <c r="E220" s="8" t="str">
        <f>IFERROR(__xludf.DUMMYFUNCTION("IMPORTXML(A219,'URLs and Paths'!$B$6)"),"4548 Avenue Papineau, Montreal, H2H 1V3")</f>
        <v>4548 Avenue Papineau, Montreal, H2H 1V3</v>
      </c>
      <c r="F220" s="9" t="str">
        <f>IFERROR(__xludf.DUMMYFUNCTION("IMAGE(IMPORTXML(A219,'URLs and Paths'!$B$7))"),"")</f>
        <v/>
      </c>
      <c r="G220" s="10" t="str">
        <f>TEXTJOIN(",",TRUE,A221:A225)</f>
        <v>fas fa-star search star-rating,fas fa-star search star-rating,fas fa-star search star-rating,fas fa-star search star-rating,fas fa-star-half search star-rating</v>
      </c>
      <c r="H220" s="6">
        <f>IFS(G220 = 'URLs and Paths'!$D$3,5, 
G220='URLs and Paths'!$D$4, 4.5,
G220='URLs and Paths'!$D$5, 4,
G220='URLs and Paths'!$D$6, 3.5,
G220='URLs and Paths'!$D$7, 3,
G220='URLs and Paths'!$D$8, 2.5,
G220='URLs and Paths'!$D$9, 2,
G220='URLs and Paths'!$D$10, 1.5,
G220='URLs and Paths'!$D$11, 1)</f>
        <v>4.5</v>
      </c>
      <c r="I220" s="3"/>
    </row>
    <row r="221">
      <c r="A221" s="15" t="str">
        <f>IFERROR(__xludf.DUMMYFUNCTION("""COMPUTED_VALUE"""),"fas fa-star search star-rating")</f>
        <v>fas fa-star search star-rating</v>
      </c>
      <c r="B221" s="6"/>
      <c r="C221" s="6"/>
      <c r="D221" s="13"/>
      <c r="E221" s="6"/>
      <c r="F221" s="16"/>
      <c r="G221" s="6"/>
      <c r="H221" s="6"/>
      <c r="I221" s="3"/>
    </row>
    <row r="222">
      <c r="A222" s="15" t="str">
        <f>IFERROR(__xludf.DUMMYFUNCTION("""COMPUTED_VALUE"""),"fas fa-star search star-rating")</f>
        <v>fas fa-star search star-rating</v>
      </c>
      <c r="B222" s="6"/>
      <c r="C222" s="6"/>
      <c r="D222" s="13"/>
      <c r="E222" s="6"/>
      <c r="F222" s="16"/>
      <c r="G222" s="6"/>
      <c r="H222" s="6"/>
      <c r="I222" s="3"/>
    </row>
    <row r="223">
      <c r="A223" s="15" t="str">
        <f>IFERROR(__xludf.DUMMYFUNCTION("""COMPUTED_VALUE"""),"fas fa-star search star-rating")</f>
        <v>fas fa-star search star-rating</v>
      </c>
      <c r="B223" s="6"/>
      <c r="C223" s="6"/>
      <c r="D223" s="13"/>
      <c r="E223" s="6"/>
      <c r="F223" s="16"/>
      <c r="G223" s="6"/>
      <c r="H223" s="6"/>
      <c r="I223" s="3"/>
    </row>
    <row r="224">
      <c r="A224" s="15" t="str">
        <f>IFERROR(__xludf.DUMMYFUNCTION("""COMPUTED_VALUE"""),"fas fa-star search star-rating")</f>
        <v>fas fa-star search star-rating</v>
      </c>
      <c r="B224" s="6"/>
      <c r="C224" s="6"/>
      <c r="D224" s="13"/>
      <c r="E224" s="6"/>
      <c r="F224" s="16"/>
      <c r="G224" s="6"/>
      <c r="H224" s="6"/>
      <c r="I224" s="3"/>
    </row>
    <row r="225">
      <c r="A225" s="15" t="str">
        <f>IFERROR(__xludf.DUMMYFUNCTION("""COMPUTED_VALUE"""),"fas fa-star-half search star-rating")</f>
        <v>fas fa-star-half search star-rating</v>
      </c>
      <c r="B225" s="6"/>
      <c r="C225" s="6"/>
      <c r="D225" s="13"/>
      <c r="E225" s="6"/>
      <c r="F225" s="16"/>
      <c r="G225" s="6"/>
      <c r="H225" s="6"/>
      <c r="I225" s="3"/>
    </row>
    <row r="226">
      <c r="A226" s="4" t="str">
        <f>IFERROR(__xludf.DUMMYFUNCTION("""COMPUTED_VALUE"""),"https://www.restomontreal.ca/resto/mckibbins-irish-pub-montreal/3367/en/")</f>
        <v>https://www.restomontreal.ca/resto/mckibbins-irish-pub-montreal/3367/en/</v>
      </c>
      <c r="B226" s="6"/>
      <c r="C226" s="6"/>
      <c r="D226" s="13"/>
      <c r="E226" s="6"/>
      <c r="F226" s="16"/>
      <c r="G226" s="6"/>
      <c r="H226" s="6"/>
      <c r="I226" s="3"/>
    </row>
    <row r="227">
      <c r="A227" s="7" t="str">
        <f>IFERROR(__xludf.DUMMYFUNCTION("""COMPUTED_VALUE""")," McKibbins Irish Pub ")</f>
        <v> McKibbins Irish Pub </v>
      </c>
      <c r="B227" s="8" t="str">
        <f>IFERROR(__xludf.DUMMYFUNCTION("IMPORTXML(A226,'URLs and Paths'!$B$4)"),"Loading...")</f>
        <v>Loading...</v>
      </c>
      <c r="C227" s="8" t="str">
        <f>IFS(B227="$", 10,
  B227="$$", 25,
  B227="$$$", 37.5,
  B227="$ &amp; $$", 17.5,
  B227="$ &amp; $$$", 23.75,
  B227="$$ &amp; $$$", 31.25
)</f>
        <v>Loading...</v>
      </c>
      <c r="D227" s="5" t="str">
        <f>IFERROR(__xludf.DUMMYFUNCTION("IMPORTXML(A226,'URLs and Paths'!$B$5)"),"Loading...")</f>
        <v>Loading...</v>
      </c>
      <c r="E227" s="8" t="str">
        <f>IFERROR(__xludf.DUMMYFUNCTION("IMPORTXML(A226,'URLs and Paths'!$B$6)"),"Loading...")</f>
        <v>Loading...</v>
      </c>
      <c r="F227" s="9" t="str">
        <f>IFERROR(__xludf.DUMMYFUNCTION("IMAGE(IMPORTXML(A226,'URLs and Paths'!$B$7))"),"Loading...")</f>
        <v>Loading...</v>
      </c>
      <c r="G227" s="10" t="str">
        <f>TEXTJOIN(",",TRUE,A228:A232)</f>
        <v>fas fa-star search star-rating,fas fa-star search star-rating,fas fa-star search star-rating,fas fa-star search star-rating,fas fa-star-half search star-rating</v>
      </c>
      <c r="H227" s="6">
        <f>IFS(G227 = 'URLs and Paths'!$D$3,5, 
G227='URLs and Paths'!$D$4, 4.5,
G227='URLs and Paths'!$D$5, 4,
G227='URLs and Paths'!$D$6, 3.5,
G227='URLs and Paths'!$D$7, 3,
G227='URLs and Paths'!$D$8, 2.5,
G227='URLs and Paths'!$D$9, 2,
G227='URLs and Paths'!$D$10, 1.5,
G227='URLs and Paths'!$D$11, 1)</f>
        <v>4.5</v>
      </c>
      <c r="I227" s="3"/>
    </row>
    <row r="228">
      <c r="A228" s="15" t="str">
        <f>IFERROR(__xludf.DUMMYFUNCTION("""COMPUTED_VALUE"""),"fas fa-star search star-rating")</f>
        <v>fas fa-star search star-rating</v>
      </c>
      <c r="B228" s="6"/>
      <c r="C228" s="6"/>
      <c r="D228" s="13"/>
      <c r="E228" s="6"/>
      <c r="F228" s="16"/>
      <c r="G228" s="6"/>
      <c r="H228" s="6"/>
      <c r="I228" s="3"/>
    </row>
    <row r="229">
      <c r="A229" s="15" t="str">
        <f>IFERROR(__xludf.DUMMYFUNCTION("""COMPUTED_VALUE"""),"fas fa-star search star-rating")</f>
        <v>fas fa-star search star-rating</v>
      </c>
      <c r="B229" s="6"/>
      <c r="C229" s="6"/>
      <c r="D229" s="13"/>
      <c r="E229" s="6"/>
      <c r="F229" s="16"/>
      <c r="G229" s="6"/>
      <c r="H229" s="6"/>
      <c r="I229" s="3"/>
    </row>
    <row r="230">
      <c r="A230" s="15" t="str">
        <f>IFERROR(__xludf.DUMMYFUNCTION("""COMPUTED_VALUE"""),"fas fa-star search star-rating")</f>
        <v>fas fa-star search star-rating</v>
      </c>
      <c r="B230" s="6"/>
      <c r="C230" s="6"/>
      <c r="D230" s="13"/>
      <c r="E230" s="6"/>
      <c r="F230" s="16"/>
      <c r="G230" s="6"/>
      <c r="H230" s="6"/>
      <c r="I230" s="3"/>
    </row>
    <row r="231">
      <c r="A231" s="15" t="str">
        <f>IFERROR(__xludf.DUMMYFUNCTION("""COMPUTED_VALUE"""),"fas fa-star search star-rating")</f>
        <v>fas fa-star search star-rating</v>
      </c>
      <c r="B231" s="6"/>
      <c r="C231" s="6"/>
      <c r="D231" s="13"/>
      <c r="E231" s="6"/>
      <c r="F231" s="16"/>
      <c r="G231" s="6"/>
      <c r="H231" s="6"/>
      <c r="I231" s="3"/>
    </row>
    <row r="232">
      <c r="A232" s="15" t="str">
        <f>IFERROR(__xludf.DUMMYFUNCTION("""COMPUTED_VALUE"""),"fas fa-star-half search star-rating")</f>
        <v>fas fa-star-half search star-rating</v>
      </c>
      <c r="B232" s="6"/>
      <c r="C232" s="6"/>
      <c r="D232" s="13"/>
      <c r="E232" s="6"/>
      <c r="F232" s="16"/>
      <c r="G232" s="6"/>
      <c r="H232" s="6"/>
      <c r="I232" s="3"/>
    </row>
    <row r="233">
      <c r="A233" s="4" t="str">
        <f>IFERROR(__xludf.DUMMYFUNCTION("""COMPUTED_VALUE"""),"https://www.restomontreal.ca/resto/india-rosa-plateau-montreal/12593/en/")</f>
        <v>https://www.restomontreal.ca/resto/india-rosa-plateau-montreal/12593/en/</v>
      </c>
      <c r="B233" s="6"/>
      <c r="C233" s="6"/>
      <c r="D233" s="13"/>
      <c r="E233" s="6"/>
      <c r="F233" s="16"/>
      <c r="G233" s="6"/>
      <c r="H233" s="6"/>
      <c r="I233" s="3"/>
    </row>
    <row r="234">
      <c r="A234" s="7" t="str">
        <f>IFERROR(__xludf.DUMMYFUNCTION("""COMPUTED_VALUE""")," India Rosa Plateau ")</f>
        <v> India Rosa Plateau </v>
      </c>
      <c r="B234" s="8" t="str">
        <f>IFERROR(__xludf.DUMMYFUNCTION("IMPORTXML(A233,'URLs and Paths'!$B$4)"),"$$ &amp; $$$")</f>
        <v>$$ &amp; $$$</v>
      </c>
      <c r="C234" s="8">
        <f>IFS(B234="$", 10,
  B234="$$", 25,
  B234="$$$", 37.5,
  B234="$ &amp; $$", 17.5,
  B234="$ &amp; $$$", 23.75,
  B234="$$ &amp; $$$", 31.25
)</f>
        <v>31.25</v>
      </c>
      <c r="D234" s="5" t="str">
        <f>IFERROR(__xludf.DUMMYFUNCTION("IMPORTXML(A233,'URLs and Paths'!$B$5)"),"  Master Card, Visa, AMEX, Interac, Mobile Payment, Contactless Payment")</f>
        <v>  Master Card, Visa, AMEX, Interac, Mobile Payment, Contactless Payment</v>
      </c>
      <c r="E234" s="8" t="str">
        <f>IFERROR(__xludf.DUMMYFUNCTION("IMPORTXML(A233,'URLs and Paths'!$B$6)"),"1241 Avenue Mont Royal E, Montreal, H2J 1Y2")</f>
        <v>1241 Avenue Mont Royal E, Montreal, H2J 1Y2</v>
      </c>
      <c r="F234" s="9" t="str">
        <f>IFERROR(__xludf.DUMMYFUNCTION("IMAGE(IMPORTXML(A233,'URLs and Paths'!$B$7))"),"")</f>
        <v/>
      </c>
      <c r="G234" s="10" t="str">
        <f>TEXTJOIN(",",TRUE,A235:A239)</f>
        <v>fas fa-star search star-rating,fas fa-star search star-rating,fas fa-star search star-rating,fas fa-star search star-rating,fas fa-star search star-rating</v>
      </c>
      <c r="H234" s="6">
        <f>IFS(G234 = 'URLs and Paths'!$D$3,5, 
G234='URLs and Paths'!$D$4, 4.5,
G234='URLs and Paths'!$D$5, 4,
G234='URLs and Paths'!$D$6, 3.5,
G234='URLs and Paths'!$D$7, 3,
G234='URLs and Paths'!$D$8, 2.5,
G234='URLs and Paths'!$D$9, 2,
G234='URLs and Paths'!$D$10, 1.5,
G234='URLs and Paths'!$D$11, 1)</f>
        <v>5</v>
      </c>
      <c r="I234" s="3"/>
    </row>
    <row r="235">
      <c r="A235" s="15" t="str">
        <f>IFERROR(__xludf.DUMMYFUNCTION("""COMPUTED_VALUE"""),"fas fa-star search star-rating")</f>
        <v>fas fa-star search star-rating</v>
      </c>
      <c r="B235" s="6"/>
      <c r="C235" s="6"/>
      <c r="D235" s="13"/>
      <c r="E235" s="6"/>
      <c r="F235" s="16"/>
      <c r="G235" s="6"/>
      <c r="H235" s="6"/>
      <c r="I235" s="3"/>
    </row>
    <row r="236">
      <c r="A236" s="15" t="str">
        <f>IFERROR(__xludf.DUMMYFUNCTION("""COMPUTED_VALUE"""),"fas fa-star search star-rating")</f>
        <v>fas fa-star search star-rating</v>
      </c>
      <c r="B236" s="6"/>
      <c r="C236" s="6"/>
      <c r="D236" s="13"/>
      <c r="E236" s="6"/>
      <c r="F236" s="16"/>
      <c r="G236" s="6"/>
      <c r="H236" s="6"/>
      <c r="I236" s="3"/>
    </row>
    <row r="237">
      <c r="A237" s="15" t="str">
        <f>IFERROR(__xludf.DUMMYFUNCTION("""COMPUTED_VALUE"""),"fas fa-star search star-rating")</f>
        <v>fas fa-star search star-rating</v>
      </c>
      <c r="B237" s="6"/>
      <c r="C237" s="6"/>
      <c r="D237" s="13"/>
      <c r="E237" s="6"/>
      <c r="F237" s="16"/>
      <c r="G237" s="6"/>
      <c r="H237" s="6"/>
      <c r="I237" s="3"/>
    </row>
    <row r="238">
      <c r="A238" s="15" t="str">
        <f>IFERROR(__xludf.DUMMYFUNCTION("""COMPUTED_VALUE"""),"fas fa-star search star-rating")</f>
        <v>fas fa-star search star-rating</v>
      </c>
      <c r="B238" s="6"/>
      <c r="C238" s="6"/>
      <c r="D238" s="13"/>
      <c r="E238" s="6"/>
      <c r="F238" s="16"/>
      <c r="G238" s="6"/>
      <c r="H238" s="6"/>
      <c r="I238" s="3"/>
    </row>
    <row r="239">
      <c r="A239" s="15" t="str">
        <f>IFERROR(__xludf.DUMMYFUNCTION("""COMPUTED_VALUE"""),"fas fa-star search star-rating")</f>
        <v>fas fa-star search star-rating</v>
      </c>
      <c r="B239" s="6"/>
      <c r="C239" s="6"/>
      <c r="D239" s="13"/>
      <c r="E239" s="6"/>
      <c r="F239" s="16"/>
      <c r="G239" s="6"/>
      <c r="H239" s="6"/>
      <c r="I239" s="3"/>
    </row>
    <row r="240">
      <c r="A240" s="4" t="str">
        <f>IFERROR(__xludf.DUMMYFUNCTION("""COMPUTED_VALUE"""),"https://www.restomontreal.ca/resto/la-khaima-cuisine-nomade-montreal/5117/en/")</f>
        <v>https://www.restomontreal.ca/resto/la-khaima-cuisine-nomade-montreal/5117/en/</v>
      </c>
      <c r="B240" s="6"/>
      <c r="C240" s="6"/>
      <c r="D240" s="13"/>
      <c r="E240" s="6"/>
      <c r="F240" s="16"/>
      <c r="G240" s="6"/>
      <c r="H240" s="6"/>
      <c r="I240" s="3"/>
    </row>
    <row r="241">
      <c r="A241" s="7" t="str">
        <f>IFERROR(__xludf.DUMMYFUNCTION("""COMPUTED_VALUE""")," La Khaïma Cuisine Nomade ")</f>
        <v> La Khaïma Cuisine Nomade </v>
      </c>
      <c r="B241" s="8" t="str">
        <f>IFERROR(__xludf.DUMMYFUNCTION("IMPORTXML(A240,'URLs and Paths'!$B$4)"),"$ &amp; $$")</f>
        <v>$ &amp; $$</v>
      </c>
      <c r="C241" s="8">
        <f>IFS(B241="$", 10,
  B241="$$", 25,
  B241="$$$", 37.5,
  B241="$ &amp; $$", 17.5,
  B241="$ &amp; $$$", 23.75,
  B241="$$ &amp; $$$", 31.25
)</f>
        <v>17.5</v>
      </c>
      <c r="D241" s="5" t="str">
        <f>IFERROR(__xludf.DUMMYFUNCTION("IMPORTXML(A240,'URLs and Paths'!$B$5)"),"  Master Card, Visa, Interac")</f>
        <v>  Master Card, Visa, Interac</v>
      </c>
      <c r="E241" s="8" t="str">
        <f>IFERROR(__xludf.DUMMYFUNCTION("IMPORTXML(A240,'URLs and Paths'!$B$6)"),"142 Avenue Fairmount O, Montreal, H2T 2M5")</f>
        <v>142 Avenue Fairmount O, Montreal, H2T 2M5</v>
      </c>
      <c r="F241" s="9" t="str">
        <f>IFERROR(__xludf.DUMMYFUNCTION("IMAGE(IMPORTXML(A240,'URLs and Paths'!$B$7))"),"")</f>
        <v/>
      </c>
      <c r="G241" s="10" t="str">
        <f>TEXTJOIN(",",TRUE,A242:A246)</f>
        <v>fas fa-star search star-rating,fas fa-star search star-rating,fas fa-star search star-rating,fas fa-star search star-rating,fas fa-star-half search star-rating</v>
      </c>
      <c r="H241" s="6">
        <f>IFS(G241 = 'URLs and Paths'!$D$3,5, 
G241='URLs and Paths'!$D$4, 4.5,
G241='URLs and Paths'!$D$5, 4,
G241='URLs and Paths'!$D$6, 3.5,
G241='URLs and Paths'!$D$7, 3,
G241='URLs and Paths'!$D$8, 2.5,
G241='URLs and Paths'!$D$9, 2,
G241='URLs and Paths'!$D$10, 1.5,
G241='URLs and Paths'!$D$11, 1)</f>
        <v>4.5</v>
      </c>
      <c r="I241" s="3"/>
    </row>
    <row r="242">
      <c r="A242" s="15" t="str">
        <f>IFERROR(__xludf.DUMMYFUNCTION("""COMPUTED_VALUE"""),"fas fa-star search star-rating")</f>
        <v>fas fa-star search star-rating</v>
      </c>
      <c r="B242" s="6"/>
      <c r="C242" s="6"/>
      <c r="D242" s="13"/>
      <c r="E242" s="6"/>
      <c r="F242" s="16"/>
      <c r="G242" s="6"/>
      <c r="H242" s="6"/>
      <c r="I242" s="3"/>
    </row>
    <row r="243">
      <c r="A243" s="15" t="str">
        <f>IFERROR(__xludf.DUMMYFUNCTION("""COMPUTED_VALUE"""),"fas fa-star search star-rating")</f>
        <v>fas fa-star search star-rating</v>
      </c>
      <c r="B243" s="6"/>
      <c r="C243" s="6"/>
      <c r="D243" s="13"/>
      <c r="E243" s="6"/>
      <c r="F243" s="16"/>
      <c r="G243" s="6"/>
      <c r="H243" s="6"/>
      <c r="I243" s="3"/>
    </row>
    <row r="244">
      <c r="A244" s="15" t="str">
        <f>IFERROR(__xludf.DUMMYFUNCTION("""COMPUTED_VALUE"""),"fas fa-star search star-rating")</f>
        <v>fas fa-star search star-rating</v>
      </c>
      <c r="B244" s="6"/>
      <c r="C244" s="6"/>
      <c r="D244" s="13"/>
      <c r="E244" s="6"/>
      <c r="F244" s="16"/>
      <c r="G244" s="6"/>
      <c r="H244" s="6"/>
      <c r="I244" s="3"/>
    </row>
    <row r="245">
      <c r="A245" s="15" t="str">
        <f>IFERROR(__xludf.DUMMYFUNCTION("""COMPUTED_VALUE"""),"fas fa-star search star-rating")</f>
        <v>fas fa-star search star-rating</v>
      </c>
      <c r="B245" s="6"/>
      <c r="C245" s="6"/>
      <c r="D245" s="13"/>
      <c r="E245" s="6"/>
      <c r="F245" s="16"/>
      <c r="G245" s="6"/>
      <c r="H245" s="6"/>
      <c r="I245" s="3"/>
    </row>
    <row r="246">
      <c r="A246" s="15" t="str">
        <f>IFERROR(__xludf.DUMMYFUNCTION("""COMPUTED_VALUE"""),"fas fa-star-half search star-rating")</f>
        <v>fas fa-star-half search star-rating</v>
      </c>
      <c r="B246" s="6"/>
      <c r="C246" s="6"/>
      <c r="D246" s="13"/>
      <c r="E246" s="6"/>
      <c r="F246" s="16"/>
      <c r="G246" s="6"/>
      <c r="H246" s="6"/>
      <c r="I246" s="3"/>
    </row>
    <row r="247">
      <c r="A247" s="4" t="str">
        <f>IFERROR(__xludf.DUMMYFUNCTION("""COMPUTED_VALUE"""),"https://www.restomontreal.ca/resto/pamika-thai-montreal/5855/en/")</f>
        <v>https://www.restomontreal.ca/resto/pamika-thai-montreal/5855/en/</v>
      </c>
      <c r="B247" s="6"/>
      <c r="C247" s="6"/>
      <c r="D247" s="13"/>
      <c r="E247" s="6"/>
      <c r="F247" s="16"/>
      <c r="G247" s="6"/>
      <c r="H247" s="6"/>
      <c r="I247" s="3"/>
    </row>
    <row r="248">
      <c r="A248" s="7" t="str">
        <f>IFERROR(__xludf.DUMMYFUNCTION("""COMPUTED_VALUE""")," Pamika Thai ")</f>
        <v> Pamika Thai </v>
      </c>
      <c r="B248" s="8" t="str">
        <f>IFERROR(__xludf.DUMMYFUNCTION("IMPORTXML(A247,'URLs and Paths'!$B$4)"),"Loading...")</f>
        <v>Loading...</v>
      </c>
      <c r="C248" s="8" t="str">
        <f>IFS(B248="$", 10,
  B248="$$", 25,
  B248="$$$", 37.5,
  B248="$ &amp; $$", 17.5,
  B248="$ &amp; $$$", 23.75,
  B248="$$ &amp; $$$", 31.25
)</f>
        <v>Loading...</v>
      </c>
      <c r="D248" s="5" t="str">
        <f>IFERROR(__xludf.DUMMYFUNCTION("IMPORTXML(A247,'URLs and Paths'!$B$5)"),"Loading...")</f>
        <v>Loading...</v>
      </c>
      <c r="E248" s="8" t="str">
        <f>IFERROR(__xludf.DUMMYFUNCTION("IMPORTXML(A247,'URLs and Paths'!$B$6)"),"Loading...")</f>
        <v>Loading...</v>
      </c>
      <c r="F248" s="9" t="str">
        <f>IFERROR(__xludf.DUMMYFUNCTION("IMAGE(IMPORTXML(A247,'URLs and Paths'!$B$7))"),"Loading...")</f>
        <v>Loading...</v>
      </c>
      <c r="G248" s="10" t="str">
        <f>TEXTJOIN(",",TRUE,A249:A253)</f>
        <v>fas fa-star search star-rating,fas fa-star search star-rating,fas fa-star search star-rating,fas fa-star search star-rating,fas fa-star-half search star-rating</v>
      </c>
      <c r="H248" s="6">
        <f>IFS(G248 = 'URLs and Paths'!$D$3,5, 
G248='URLs and Paths'!$D$4, 4.5,
G248='URLs and Paths'!$D$5, 4,
G248='URLs and Paths'!$D$6, 3.5,
G248='URLs and Paths'!$D$7, 3,
G248='URLs and Paths'!$D$8, 2.5,
G248='URLs and Paths'!$D$9, 2,
G248='URLs and Paths'!$D$10, 1.5,
G248='URLs and Paths'!$D$11, 1)</f>
        <v>4.5</v>
      </c>
      <c r="I248" s="3"/>
    </row>
    <row r="249">
      <c r="A249" s="15" t="str">
        <f>IFERROR(__xludf.DUMMYFUNCTION("""COMPUTED_VALUE"""),"fas fa-star search star-rating")</f>
        <v>fas fa-star search star-rating</v>
      </c>
      <c r="B249" s="6"/>
      <c r="C249" s="6"/>
      <c r="D249" s="13"/>
      <c r="E249" s="6"/>
      <c r="F249" s="16"/>
      <c r="G249" s="6"/>
      <c r="H249" s="6"/>
      <c r="I249" s="3"/>
    </row>
    <row r="250">
      <c r="A250" s="15" t="str">
        <f>IFERROR(__xludf.DUMMYFUNCTION("""COMPUTED_VALUE"""),"fas fa-star search star-rating")</f>
        <v>fas fa-star search star-rating</v>
      </c>
      <c r="B250" s="6"/>
      <c r="C250" s="6"/>
      <c r="D250" s="13"/>
      <c r="E250" s="6"/>
      <c r="F250" s="16"/>
      <c r="G250" s="6"/>
      <c r="H250" s="6"/>
      <c r="I250" s="3"/>
    </row>
    <row r="251">
      <c r="A251" s="15" t="str">
        <f>IFERROR(__xludf.DUMMYFUNCTION("""COMPUTED_VALUE"""),"fas fa-star search star-rating")</f>
        <v>fas fa-star search star-rating</v>
      </c>
      <c r="B251" s="6"/>
      <c r="C251" s="6"/>
      <c r="D251" s="13"/>
      <c r="E251" s="6"/>
      <c r="F251" s="16"/>
      <c r="G251" s="6"/>
      <c r="H251" s="6"/>
      <c r="I251" s="3"/>
    </row>
    <row r="252">
      <c r="A252" s="15" t="str">
        <f>IFERROR(__xludf.DUMMYFUNCTION("""COMPUTED_VALUE"""),"fas fa-star search star-rating")</f>
        <v>fas fa-star search star-rating</v>
      </c>
      <c r="B252" s="6"/>
      <c r="C252" s="6"/>
      <c r="D252" s="13"/>
      <c r="E252" s="6"/>
      <c r="F252" s="16"/>
      <c r="G252" s="6"/>
      <c r="H252" s="6"/>
      <c r="I252" s="3"/>
    </row>
    <row r="253">
      <c r="A253" s="15" t="str">
        <f>IFERROR(__xludf.DUMMYFUNCTION("""COMPUTED_VALUE"""),"fas fa-star-half search star-rating")</f>
        <v>fas fa-star-half search star-rating</v>
      </c>
      <c r="B253" s="6"/>
      <c r="C253" s="6"/>
      <c r="D253" s="13"/>
      <c r="E253" s="6"/>
      <c r="F253" s="16"/>
      <c r="G253" s="6"/>
      <c r="H253" s="6"/>
      <c r="I253" s="3"/>
    </row>
    <row r="254">
      <c r="A254" s="4" t="str">
        <f>IFERROR(__xludf.DUMMYFUNCTION("""COMPUTED_VALUE"""),"https://www.restomontreal.ca/resto/mlle-rosa-montreal/18265/en/")</f>
        <v>https://www.restomontreal.ca/resto/mlle-rosa-montreal/18265/en/</v>
      </c>
      <c r="B254" s="6"/>
      <c r="C254" s="6"/>
      <c r="D254" s="13"/>
      <c r="E254" s="6"/>
      <c r="F254" s="16"/>
      <c r="G254" s="6"/>
      <c r="H254" s="6"/>
      <c r="I254" s="3"/>
    </row>
    <row r="255">
      <c r="A255" s="7" t="str">
        <f>IFERROR(__xludf.DUMMYFUNCTION("""COMPUTED_VALUE""")," Mlle Rosa ")</f>
        <v> Mlle Rosa </v>
      </c>
      <c r="B255" s="8" t="str">
        <f>IFERROR(__xludf.DUMMYFUNCTION("IMPORTXML(A254,'URLs and Paths'!$B$4)"),"Loading...")</f>
        <v>Loading...</v>
      </c>
      <c r="C255" s="8" t="str">
        <f>IFS(B255="$", 10,
  B255="$$", 25,
  B255="$$$", 37.5,
  B255="$ &amp; $$", 17.5,
  B255="$ &amp; $$$", 23.75,
  B255="$$ &amp; $$$", 31.25
)</f>
        <v>Loading...</v>
      </c>
      <c r="D255" s="5" t="str">
        <f>IFERROR(__xludf.DUMMYFUNCTION("IMPORTXML(A254,'URLs and Paths'!$B$5)"),"Loading...")</f>
        <v>Loading...</v>
      </c>
      <c r="E255" s="8" t="str">
        <f>IFERROR(__xludf.DUMMYFUNCTION("IMPORTXML(A254,'URLs and Paths'!$B$6)"),"Loading...")</f>
        <v>Loading...</v>
      </c>
      <c r="F255" s="9" t="str">
        <f>IFERROR(__xludf.DUMMYFUNCTION("IMAGE(IMPORTXML(A254,'URLs and Paths'!$B$7))"),"Loading...")</f>
        <v>Loading...</v>
      </c>
      <c r="G255" s="10" t="str">
        <f>TEXTJOIN(",",TRUE,A256:A260)</f>
        <v>fas fa-star search star-rating,fas fa-star search star-rating,fas fa-star search star-rating,fas fa-star search star-rating,fas fa-star-half search star-rating</v>
      </c>
      <c r="H255" s="6">
        <f>IFS(G255 = 'URLs and Paths'!$D$3,5, 
G255='URLs and Paths'!$D$4, 4.5,
G255='URLs and Paths'!$D$5, 4,
G255='URLs and Paths'!$D$6, 3.5,
G255='URLs and Paths'!$D$7, 3,
G255='URLs and Paths'!$D$8, 2.5,
G255='URLs and Paths'!$D$9, 2,
G255='URLs and Paths'!$D$10, 1.5,
G255='URLs and Paths'!$D$11, 1)</f>
        <v>4.5</v>
      </c>
      <c r="I255" s="3"/>
    </row>
    <row r="256">
      <c r="A256" s="15" t="str">
        <f>IFERROR(__xludf.DUMMYFUNCTION("""COMPUTED_VALUE"""),"fas fa-star search star-rating")</f>
        <v>fas fa-star search star-rating</v>
      </c>
      <c r="B256" s="6"/>
      <c r="C256" s="6"/>
      <c r="D256" s="13"/>
      <c r="E256" s="6"/>
      <c r="F256" s="16"/>
      <c r="G256" s="6"/>
      <c r="H256" s="6"/>
      <c r="I256" s="3"/>
    </row>
    <row r="257">
      <c r="A257" s="15" t="str">
        <f>IFERROR(__xludf.DUMMYFUNCTION("""COMPUTED_VALUE"""),"fas fa-star search star-rating")</f>
        <v>fas fa-star search star-rating</v>
      </c>
      <c r="B257" s="6"/>
      <c r="C257" s="6"/>
      <c r="D257" s="13"/>
      <c r="E257" s="6"/>
      <c r="F257" s="16"/>
      <c r="G257" s="6"/>
      <c r="H257" s="6"/>
      <c r="I257" s="3"/>
    </row>
    <row r="258">
      <c r="A258" s="15" t="str">
        <f>IFERROR(__xludf.DUMMYFUNCTION("""COMPUTED_VALUE"""),"fas fa-star search star-rating")</f>
        <v>fas fa-star search star-rating</v>
      </c>
      <c r="B258" s="6"/>
      <c r="C258" s="6"/>
      <c r="D258" s="13"/>
      <c r="E258" s="6"/>
      <c r="F258" s="16"/>
      <c r="G258" s="6"/>
      <c r="H258" s="6"/>
      <c r="I258" s="3"/>
    </row>
    <row r="259">
      <c r="A259" s="15" t="str">
        <f>IFERROR(__xludf.DUMMYFUNCTION("""COMPUTED_VALUE"""),"fas fa-star search star-rating")</f>
        <v>fas fa-star search star-rating</v>
      </c>
      <c r="B259" s="6"/>
      <c r="C259" s="6"/>
      <c r="D259" s="13"/>
      <c r="E259" s="6"/>
      <c r="F259" s="16"/>
      <c r="G259" s="6"/>
      <c r="H259" s="6"/>
      <c r="I259" s="3"/>
    </row>
    <row r="260">
      <c r="A260" s="15" t="str">
        <f>IFERROR(__xludf.DUMMYFUNCTION("""COMPUTED_VALUE"""),"fas fa-star-half search star-rating")</f>
        <v>fas fa-star-half search star-rating</v>
      </c>
      <c r="B260" s="6"/>
      <c r="C260" s="6"/>
      <c r="D260" s="13"/>
      <c r="E260" s="6"/>
      <c r="F260" s="16"/>
      <c r="G260" s="6"/>
      <c r="H260" s="6"/>
      <c r="I260" s="3"/>
    </row>
    <row r="261">
      <c r="A261" s="4" t="str">
        <f>IFERROR(__xludf.DUMMYFUNCTION("""COMPUTED_VALUE"""),"https://www.restomontreal.ca/resto/rutba-montreal/17845/en/")</f>
        <v>https://www.restomontreal.ca/resto/rutba-montreal/17845/en/</v>
      </c>
      <c r="B261" s="6"/>
      <c r="C261" s="6"/>
      <c r="D261" s="13"/>
      <c r="E261" s="6"/>
      <c r="F261" s="16"/>
      <c r="G261" s="6"/>
      <c r="H261" s="6"/>
      <c r="I261" s="3"/>
    </row>
    <row r="262">
      <c r="A262" s="7" t="str">
        <f>IFERROR(__xludf.DUMMYFUNCTION("""COMPUTED_VALUE""")," Rutba ")</f>
        <v> Rutba </v>
      </c>
      <c r="B262" s="8" t="str">
        <f>IFERROR(__xludf.DUMMYFUNCTION("IMPORTXML(A261,'URLs and Paths'!$B$4)"),"$$")</f>
        <v>$$</v>
      </c>
      <c r="C262" s="8">
        <f>IFS(B262="$", 10,
  B262="$$", 25,
  B262="$$$", 37.5,
  B262="$ &amp; $$", 17.5,
  B262="$ &amp; $$$", 23.75,
  B262="$$ &amp; $$$", 31.25
)</f>
        <v>25</v>
      </c>
      <c r="D262" s="5" t="str">
        <f>IFERROR(__xludf.DUMMYFUNCTION("IMPORTXML(A261,'URLs and Paths'!$B$5)"),"#N/A")</f>
        <v>#N/A</v>
      </c>
      <c r="E262" s="8" t="str">
        <f>IFERROR(__xludf.DUMMYFUNCTION("IMPORTXML(A261,'URLs and Paths'!$B$6)"),"3633 Boulevard St-Laurent, Montreal, H2X 2V5")</f>
        <v>3633 Boulevard St-Laurent, Montreal, H2X 2V5</v>
      </c>
      <c r="F262" s="9" t="str">
        <f>IFERROR(__xludf.DUMMYFUNCTION("IMAGE(IMPORTXML(A261,'URLs and Paths'!$B$7))"),"")</f>
        <v/>
      </c>
      <c r="G262" s="10" t="str">
        <f>TEXTJOIN(",",TRUE,A263:A267)</f>
        <v>fas fa-star search star-rating,fas fa-star search star-rating,fas fa-star search star-rating,fas fa-star search star-rating,fas fa-star search star-rating</v>
      </c>
      <c r="H262" s="6">
        <f>IFS(G262 = 'URLs and Paths'!$D$3,5, 
G262='URLs and Paths'!$D$4, 4.5,
G262='URLs and Paths'!$D$5, 4,
G262='URLs and Paths'!$D$6, 3.5,
G262='URLs and Paths'!$D$7, 3,
G262='URLs and Paths'!$D$8, 2.5,
G262='URLs and Paths'!$D$9, 2,
G262='URLs and Paths'!$D$10, 1.5,
G262='URLs and Paths'!$D$11, 1)</f>
        <v>5</v>
      </c>
      <c r="I262" s="3"/>
    </row>
    <row r="263">
      <c r="A263" s="15" t="str">
        <f>IFERROR(__xludf.DUMMYFUNCTION("""COMPUTED_VALUE"""),"fas fa-star search star-rating")</f>
        <v>fas fa-star search star-rating</v>
      </c>
      <c r="B263" s="6"/>
      <c r="C263" s="6"/>
      <c r="D263" s="13"/>
      <c r="E263" s="6"/>
      <c r="F263" s="16"/>
      <c r="G263" s="6"/>
      <c r="H263" s="6"/>
      <c r="I263" s="3"/>
    </row>
    <row r="264">
      <c r="A264" s="15" t="str">
        <f>IFERROR(__xludf.DUMMYFUNCTION("""COMPUTED_VALUE"""),"fas fa-star search star-rating")</f>
        <v>fas fa-star search star-rating</v>
      </c>
      <c r="B264" s="6"/>
      <c r="C264" s="6"/>
      <c r="D264" s="13"/>
      <c r="E264" s="6"/>
      <c r="F264" s="16"/>
      <c r="G264" s="6"/>
      <c r="H264" s="6"/>
      <c r="I264" s="3"/>
    </row>
    <row r="265">
      <c r="A265" s="15" t="str">
        <f>IFERROR(__xludf.DUMMYFUNCTION("""COMPUTED_VALUE"""),"fas fa-star search star-rating")</f>
        <v>fas fa-star search star-rating</v>
      </c>
      <c r="B265" s="6"/>
      <c r="C265" s="6"/>
      <c r="D265" s="13"/>
      <c r="E265" s="6"/>
      <c r="F265" s="16"/>
      <c r="G265" s="6"/>
      <c r="H265" s="6"/>
      <c r="I265" s="3"/>
    </row>
    <row r="266">
      <c r="A266" s="15" t="str">
        <f>IFERROR(__xludf.DUMMYFUNCTION("""COMPUTED_VALUE"""),"fas fa-star search star-rating")</f>
        <v>fas fa-star search star-rating</v>
      </c>
      <c r="B266" s="6"/>
      <c r="C266" s="6"/>
      <c r="D266" s="13"/>
      <c r="E266" s="6"/>
      <c r="F266" s="16"/>
      <c r="G266" s="6"/>
      <c r="H266" s="6"/>
      <c r="I266" s="3"/>
    </row>
    <row r="267">
      <c r="A267" s="15" t="str">
        <f>IFERROR(__xludf.DUMMYFUNCTION("""COMPUTED_VALUE"""),"fas fa-star search star-rating")</f>
        <v>fas fa-star search star-rating</v>
      </c>
      <c r="B267" s="6"/>
      <c r="C267" s="6"/>
      <c r="D267" s="13"/>
      <c r="E267" s="6"/>
      <c r="F267" s="16"/>
      <c r="G267" s="6"/>
      <c r="H267" s="6"/>
      <c r="I267" s="3"/>
    </row>
    <row r="268">
      <c r="A268" s="4" t="str">
        <f>IFERROR(__xludf.DUMMYFUNCTION("""COMPUTED_VALUE"""),"https://www.restomontreal.ca/resto/bar-judinstrom-montreal/21167/en/")</f>
        <v>https://www.restomontreal.ca/resto/bar-judinstrom-montreal/21167/en/</v>
      </c>
      <c r="B268" s="6"/>
      <c r="C268" s="6"/>
      <c r="D268" s="13"/>
      <c r="E268" s="6"/>
      <c r="F268" s="16"/>
      <c r="G268" s="6"/>
      <c r="H268" s="6"/>
      <c r="I268" s="3"/>
    </row>
    <row r="269">
      <c r="A269" s="7" t="str">
        <f>IFERROR(__xludf.DUMMYFUNCTION("""COMPUTED_VALUE""")," Bar Judinstrom ")</f>
        <v> Bar Judinstrom </v>
      </c>
      <c r="B269" s="8" t="str">
        <f>IFERROR(__xludf.DUMMYFUNCTION("IMPORTXML(A268,'URLs and Paths'!$B$4)"),"Loading...")</f>
        <v>Loading...</v>
      </c>
      <c r="C269" s="8" t="str">
        <f>IFS(B269="$", 10,
  B269="$$", 25,
  B269="$$$", 37.5,
  B269="$ &amp; $$", 17.5,
  B269="$ &amp; $$$", 23.75,
  B269="$$ &amp; $$$", 31.25
)</f>
        <v>Loading...</v>
      </c>
      <c r="D269" s="5" t="str">
        <f>IFERROR(__xludf.DUMMYFUNCTION("IMPORTXML(A268,'URLs and Paths'!$B$5)"),"Loading...")</f>
        <v>Loading...</v>
      </c>
      <c r="E269" s="8" t="str">
        <f>IFERROR(__xludf.DUMMYFUNCTION("IMPORTXML(A268,'URLs and Paths'!$B$6)"),"Loading...")</f>
        <v>Loading...</v>
      </c>
      <c r="F269" s="9" t="str">
        <f>IFERROR(__xludf.DUMMYFUNCTION("IMAGE(IMPORTXML(A268,'URLs and Paths'!$B$7))"),"Loading...")</f>
        <v>Loading...</v>
      </c>
      <c r="G269" s="10" t="str">
        <f>TEXTJOIN(",",TRUE,A270:A274)</f>
        <v>fas fa-star search star-rating,fas fa-star search star-rating,fas fa-star search star-rating,fas fa-star search star-rating,fas fa-star search star-rating</v>
      </c>
      <c r="H269" s="6">
        <f>IFS(G269 = 'URLs and Paths'!$D$3,5, 
G269='URLs and Paths'!$D$4, 4.5,
G269='URLs and Paths'!$D$5, 4,
G269='URLs and Paths'!$D$6, 3.5,
G269='URLs and Paths'!$D$7, 3,
G269='URLs and Paths'!$D$8, 2.5,
G269='URLs and Paths'!$D$9, 2,
G269='URLs and Paths'!$D$10, 1.5,
G269='URLs and Paths'!$D$11, 1)</f>
        <v>5</v>
      </c>
      <c r="I269" s="3"/>
    </row>
    <row r="270">
      <c r="A270" s="15" t="str">
        <f>IFERROR(__xludf.DUMMYFUNCTION("""COMPUTED_VALUE"""),"fas fa-star search star-rating")</f>
        <v>fas fa-star search star-rating</v>
      </c>
      <c r="B270" s="6"/>
      <c r="D270" s="13"/>
      <c r="E270" s="6"/>
      <c r="F270" s="16"/>
      <c r="G270" s="6"/>
      <c r="H270" s="6"/>
      <c r="I270" s="3"/>
    </row>
    <row r="271">
      <c r="A271" s="15" t="str">
        <f>IFERROR(__xludf.DUMMYFUNCTION("""COMPUTED_VALUE"""),"fas fa-star search star-rating")</f>
        <v>fas fa-star search star-rating</v>
      </c>
      <c r="B271" s="6"/>
      <c r="C271" s="6"/>
      <c r="D271" s="13"/>
      <c r="E271" s="6"/>
      <c r="F271" s="16"/>
      <c r="G271" s="6"/>
      <c r="H271" s="6"/>
      <c r="I271" s="3"/>
    </row>
    <row r="272">
      <c r="A272" s="15" t="str">
        <f>IFERROR(__xludf.DUMMYFUNCTION("""COMPUTED_VALUE"""),"fas fa-star search star-rating")</f>
        <v>fas fa-star search star-rating</v>
      </c>
      <c r="B272" s="6"/>
      <c r="C272" s="6"/>
      <c r="D272" s="13"/>
      <c r="E272" s="6"/>
      <c r="F272" s="16"/>
      <c r="G272" s="6"/>
      <c r="H272" s="6"/>
      <c r="I272" s="3"/>
    </row>
    <row r="273">
      <c r="A273" s="15" t="str">
        <f>IFERROR(__xludf.DUMMYFUNCTION("""COMPUTED_VALUE"""),"fas fa-star search star-rating")</f>
        <v>fas fa-star search star-rating</v>
      </c>
      <c r="B273" s="6"/>
      <c r="C273" s="6"/>
      <c r="D273" s="13"/>
      <c r="E273" s="6"/>
      <c r="F273" s="16"/>
      <c r="G273" s="6"/>
      <c r="H273" s="6"/>
      <c r="I273" s="3"/>
    </row>
    <row r="274">
      <c r="A274" s="15" t="str">
        <f>IFERROR(__xludf.DUMMYFUNCTION("""COMPUTED_VALUE"""),"fas fa-star search star-rating")</f>
        <v>fas fa-star search star-rating</v>
      </c>
      <c r="B274" s="6"/>
      <c r="C274" s="6"/>
      <c r="D274" s="13"/>
      <c r="E274" s="6"/>
      <c r="F274" s="16"/>
      <c r="G274" s="6"/>
      <c r="H274" s="6"/>
      <c r="I274" s="3"/>
    </row>
    <row r="275">
      <c r="A275" s="4" t="str">
        <f>IFERROR(__xludf.DUMMYFUNCTION("""COMPUTED_VALUE"""),"https://www.restomontreal.ca/resto/pho-mont-royal-montreal/7460/en/")</f>
        <v>https://www.restomontreal.ca/resto/pho-mont-royal-montreal/7460/en/</v>
      </c>
      <c r="B275" s="6"/>
      <c r="C275" s="6"/>
      <c r="D275" s="13"/>
      <c r="E275" s="6"/>
      <c r="F275" s="16"/>
      <c r="G275" s="6"/>
      <c r="H275" s="6"/>
      <c r="I275" s="3"/>
    </row>
    <row r="276">
      <c r="A276" s="7" t="str">
        <f>IFERROR(__xludf.DUMMYFUNCTION("""COMPUTED_VALUE""")," Pho Mont-Royal ")</f>
        <v> Pho Mont-Royal </v>
      </c>
      <c r="B276" s="8" t="str">
        <f>IFERROR(__xludf.DUMMYFUNCTION("IMPORTXML(A275,'URLs and Paths'!$B$4)"),"$")</f>
        <v>$</v>
      </c>
      <c r="C276" s="8">
        <f>IFS(B276="$", 10,
  B276="$$", 25,
  B276="$$$", 37.5,
  B276="$ &amp; $$", 17.5,
  B276="$ &amp; $$$", 23.75,
  B276="$$ &amp; $$$", 31.25
)</f>
        <v>10</v>
      </c>
      <c r="D276" s="5" t="str">
        <f>IFERROR(__xludf.DUMMYFUNCTION("IMPORTXML(A275,'URLs and Paths'!$B$5)"),"Loading...")</f>
        <v>Loading...</v>
      </c>
      <c r="E276" s="8" t="str">
        <f>IFERROR(__xludf.DUMMYFUNCTION("IMPORTXML(A275,'URLs and Paths'!$B$6)"),"1459 Avenue Mont-Royal, Montreal, H2J 1Y9")</f>
        <v>1459 Avenue Mont-Royal, Montreal, H2J 1Y9</v>
      </c>
      <c r="F276" s="9" t="str">
        <f>IFERROR(__xludf.DUMMYFUNCTION("IMAGE(IMPORTXML(A275,'URLs and Paths'!$B$7))"),"")</f>
        <v/>
      </c>
      <c r="G276" s="10" t="str">
        <f>TEXTJOIN(",",TRUE,A277:A281)</f>
        <v>fas fa-star search star-rating,fas fa-star search star-rating,fas fa-star search star-rating,fas fa-star search star-rating,fas fa-star search star-rating</v>
      </c>
      <c r="H276" s="6">
        <f>IFS(G276 = 'URLs and Paths'!$D$3,5, 
G276='URLs and Paths'!$D$4, 4.5,
G276='URLs and Paths'!$D$5, 4,
G276='URLs and Paths'!$D$6, 3.5,
G276='URLs and Paths'!$D$7, 3,
G276='URLs and Paths'!$D$8, 2.5,
G276='URLs and Paths'!$D$9, 2,
G276='URLs and Paths'!$D$10, 1.5,
G276='URLs and Paths'!$D$11, 1)</f>
        <v>5</v>
      </c>
      <c r="I276" s="3"/>
    </row>
    <row r="277">
      <c r="A277" s="15" t="str">
        <f>IFERROR(__xludf.DUMMYFUNCTION("""COMPUTED_VALUE"""),"fas fa-star search star-rating")</f>
        <v>fas fa-star search star-rating</v>
      </c>
      <c r="B277" s="6"/>
      <c r="C277" s="6"/>
      <c r="D277" s="13"/>
      <c r="E277" s="6"/>
      <c r="F277" s="16"/>
      <c r="G277" s="6"/>
      <c r="H277" s="6"/>
      <c r="I277" s="3"/>
    </row>
    <row r="278">
      <c r="A278" s="15" t="str">
        <f>IFERROR(__xludf.DUMMYFUNCTION("""COMPUTED_VALUE"""),"fas fa-star search star-rating")</f>
        <v>fas fa-star search star-rating</v>
      </c>
      <c r="B278" s="6"/>
      <c r="C278" s="6"/>
      <c r="D278" s="13"/>
      <c r="E278" s="6"/>
      <c r="F278" s="16"/>
      <c r="G278" s="6"/>
      <c r="H278" s="6"/>
      <c r="I278" s="3"/>
    </row>
    <row r="279">
      <c r="A279" s="15" t="str">
        <f>IFERROR(__xludf.DUMMYFUNCTION("""COMPUTED_VALUE"""),"fas fa-star search star-rating")</f>
        <v>fas fa-star search star-rating</v>
      </c>
      <c r="B279" s="6"/>
      <c r="C279" s="6"/>
      <c r="D279" s="13"/>
      <c r="E279" s="6"/>
      <c r="F279" s="16"/>
      <c r="G279" s="6"/>
      <c r="H279" s="6"/>
      <c r="I279" s="3"/>
    </row>
    <row r="280">
      <c r="A280" s="15" t="str">
        <f>IFERROR(__xludf.DUMMYFUNCTION("""COMPUTED_VALUE"""),"fas fa-star search star-rating")</f>
        <v>fas fa-star search star-rating</v>
      </c>
      <c r="B280" s="6"/>
      <c r="C280" s="6"/>
      <c r="D280" s="13"/>
      <c r="E280" s="6"/>
      <c r="F280" s="16"/>
      <c r="G280" s="6"/>
      <c r="H280" s="6"/>
      <c r="I280" s="3"/>
    </row>
    <row r="281">
      <c r="A281" s="15" t="str">
        <f>IFERROR(__xludf.DUMMYFUNCTION("""COMPUTED_VALUE"""),"fas fa-star search star-rating")</f>
        <v>fas fa-star search star-rating</v>
      </c>
      <c r="B281" s="6"/>
      <c r="C281" s="6"/>
      <c r="D281" s="13"/>
      <c r="E281" s="6"/>
      <c r="F281" s="16"/>
      <c r="G281" s="6"/>
      <c r="H281" s="6"/>
      <c r="I281" s="3"/>
    </row>
    <row r="282">
      <c r="A282" s="4" t="str">
        <f>IFERROR(__xludf.DUMMYFUNCTION("""COMPUTED_VALUE"""),"https://www.restomontreal.ca/resto/piel-canela-montreal/17811/en/")</f>
        <v>https://www.restomontreal.ca/resto/piel-canela-montreal/17811/en/</v>
      </c>
      <c r="B282" s="6"/>
      <c r="C282" s="6"/>
      <c r="D282" s="13"/>
      <c r="E282" s="6"/>
      <c r="F282" s="16"/>
      <c r="G282" s="6"/>
      <c r="H282" s="6"/>
      <c r="I282" s="3"/>
    </row>
    <row r="283">
      <c r="A283" s="7" t="str">
        <f>IFERROR(__xludf.DUMMYFUNCTION("""COMPUTED_VALUE""")," Piel Canela ")</f>
        <v> Piel Canela </v>
      </c>
      <c r="B283" s="8" t="str">
        <f>IFERROR(__xludf.DUMMYFUNCTION("IMPORTXML(A282,'URLs and Paths'!$B$4)"),"$$ &amp; $$$")</f>
        <v>$$ &amp; $$$</v>
      </c>
      <c r="C283" s="8">
        <f>IFS(B283="$", 10,
  B283="$$", 25,
  B283="$$$", 37.5,
  B283="$ &amp; $$", 17.5,
  B283="$ &amp; $$$", 23.75,
  B283="$$ &amp; $$$", 31.25
)</f>
        <v>31.25</v>
      </c>
      <c r="D283" s="5" t="str">
        <f>IFERROR(__xludf.DUMMYFUNCTION("IMPORTXML(A282,'URLs and Paths'!$B$5)"),"  Master Card, Visa, AMEX, Interac, Mobile Payment, Contactless Payment")</f>
        <v>  Master Card, Visa, AMEX, Interac, Mobile Payment, Contactless Payment</v>
      </c>
      <c r="E283" s="8" t="str">
        <f>IFERROR(__xludf.DUMMYFUNCTION("IMPORTXML(A282,'URLs and Paths'!$B$6)"),"4542 Rue St-Denis, Montreal, H2J 2L3")</f>
        <v>4542 Rue St-Denis, Montreal, H2J 2L3</v>
      </c>
      <c r="F283" s="9" t="str">
        <f>IFERROR(__xludf.DUMMYFUNCTION("IMAGE(IMPORTXML(A282,'URLs and Paths'!$B$7))"),"")</f>
        <v/>
      </c>
      <c r="G283" s="10" t="str">
        <f>TEXTJOIN(",",TRUE,A284:A288)</f>
        <v>fas fa-star search star-rating,fas fa-star search star-rating,fas fa-star search star-rating,fas fa-star search star-rating,fas fa-star search star-rating</v>
      </c>
      <c r="H283" s="6">
        <f>IFS(G283 = 'URLs and Paths'!$D$3,5, 
G283='URLs and Paths'!$D$4, 4.5,
G283='URLs and Paths'!$D$5, 4,
G283='URLs and Paths'!$D$6, 3.5,
G283='URLs and Paths'!$D$7, 3,
G283='URLs and Paths'!$D$8, 2.5,
G283='URLs and Paths'!$D$9, 2,
G283='URLs and Paths'!$D$10, 1.5,
G283='URLs and Paths'!$D$11, 1)</f>
        <v>5</v>
      </c>
      <c r="I283" s="3"/>
    </row>
    <row r="284">
      <c r="A284" s="15" t="str">
        <f>IFERROR(__xludf.DUMMYFUNCTION("""COMPUTED_VALUE"""),"fas fa-star search star-rating")</f>
        <v>fas fa-star search star-rating</v>
      </c>
      <c r="B284" s="6"/>
      <c r="C284" s="6"/>
      <c r="D284" s="13"/>
      <c r="E284" s="6"/>
      <c r="F284" s="16"/>
      <c r="G284" s="6"/>
      <c r="H284" s="6"/>
      <c r="I284" s="3"/>
    </row>
    <row r="285">
      <c r="A285" s="15" t="str">
        <f>IFERROR(__xludf.DUMMYFUNCTION("""COMPUTED_VALUE"""),"fas fa-star search star-rating")</f>
        <v>fas fa-star search star-rating</v>
      </c>
      <c r="B285" s="6"/>
      <c r="C285" s="6"/>
      <c r="D285" s="13"/>
      <c r="E285" s="6"/>
      <c r="F285" s="16"/>
      <c r="G285" s="6"/>
      <c r="H285" s="6"/>
      <c r="I285" s="3"/>
    </row>
    <row r="286">
      <c r="A286" s="15" t="str">
        <f>IFERROR(__xludf.DUMMYFUNCTION("""COMPUTED_VALUE"""),"fas fa-star search star-rating")</f>
        <v>fas fa-star search star-rating</v>
      </c>
      <c r="B286" s="6"/>
      <c r="C286" s="6"/>
      <c r="D286" s="13"/>
      <c r="E286" s="6"/>
      <c r="F286" s="16"/>
      <c r="G286" s="6"/>
      <c r="H286" s="6"/>
      <c r="I286" s="3"/>
    </row>
    <row r="287">
      <c r="A287" s="15" t="str">
        <f>IFERROR(__xludf.DUMMYFUNCTION("""COMPUTED_VALUE"""),"fas fa-star search star-rating")</f>
        <v>fas fa-star search star-rating</v>
      </c>
      <c r="B287" s="6"/>
      <c r="C287" s="6"/>
      <c r="D287" s="13"/>
      <c r="E287" s="6"/>
      <c r="F287" s="16"/>
      <c r="G287" s="6"/>
      <c r="H287" s="6"/>
      <c r="I287" s="3"/>
    </row>
    <row r="288">
      <c r="A288" s="15" t="str">
        <f>IFERROR(__xludf.DUMMYFUNCTION("""COMPUTED_VALUE"""),"fas fa-star search star-rating")</f>
        <v>fas fa-star search star-rating</v>
      </c>
      <c r="B288" s="6"/>
      <c r="C288" s="6"/>
      <c r="D288" s="13"/>
      <c r="E288" s="6"/>
      <c r="F288" s="16"/>
      <c r="G288" s="6"/>
      <c r="H288" s="6"/>
      <c r="I288" s="3"/>
    </row>
    <row r="289">
      <c r="A289" s="4" t="str">
        <f>IFERROR(__xludf.DUMMYFUNCTION("""COMPUTED_VALUE"""),"https://www.restomontreal.ca/resto/letoile-de-locean-montreal/1116/en/")</f>
        <v>https://www.restomontreal.ca/resto/letoile-de-locean-montreal/1116/en/</v>
      </c>
      <c r="B289" s="6"/>
      <c r="C289" s="6"/>
      <c r="D289" s="13"/>
      <c r="E289" s="6"/>
      <c r="F289" s="16"/>
      <c r="G289" s="6"/>
      <c r="H289" s="6"/>
      <c r="I289" s="3"/>
    </row>
    <row r="290">
      <c r="A290" s="7" t="str">
        <f>IFERROR(__xludf.DUMMYFUNCTION("""COMPUTED_VALUE""")," L'étoile de L'Océan ")</f>
        <v> L'étoile de L'Océan </v>
      </c>
      <c r="B290" s="8" t="str">
        <f>IFERROR(__xludf.DUMMYFUNCTION("IMPORTXML(A289,'URLs and Paths'!$B$4)"),"Loading...")</f>
        <v>Loading...</v>
      </c>
      <c r="C290" s="8" t="str">
        <f>IFS(B290="$", 10,
  B290="$$", 25,
  B290="$$$", 37.5,
  B290="$ &amp; $$", 17.5,
  B290="$ &amp; $$$", 23.75,
  B290="$$ &amp; $$$", 31.25
)</f>
        <v>Loading...</v>
      </c>
      <c r="D290" s="5" t="str">
        <f>IFERROR(__xludf.DUMMYFUNCTION("IMPORTXML(A289,'URLs and Paths'!$B$5)"),"Loading...")</f>
        <v>Loading...</v>
      </c>
      <c r="E290" s="8" t="str">
        <f>IFERROR(__xludf.DUMMYFUNCTION("IMPORTXML(A289,'URLs and Paths'!$B$6)"),"Loading...")</f>
        <v>Loading...</v>
      </c>
      <c r="F290" s="9" t="str">
        <f>IFERROR(__xludf.DUMMYFUNCTION("IMAGE(IMPORTXML(A289,'URLs and Paths'!$B$7))"),"Loading...")</f>
        <v>Loading...</v>
      </c>
      <c r="G290" s="10" t="str">
        <f>TEXTJOIN(",",TRUE,A291:A295)</f>
        <v>fas fa-star search star-rating,fas fa-star search star-rating,fas fa-star search star-rating,fas fa-star search star-rating,fas fa-star-half search star-rating</v>
      </c>
      <c r="H290" s="6">
        <f>IFS(G290 = 'URLs and Paths'!$D$3,5, 
G290='URLs and Paths'!$D$4, 4.5,
G290='URLs and Paths'!$D$5, 4,
G290='URLs and Paths'!$D$6, 3.5,
G290='URLs and Paths'!$D$7, 3,
G290='URLs and Paths'!$D$8, 2.5,
G290='URLs and Paths'!$D$9, 2,
G290='URLs and Paths'!$D$10, 1.5,
G290='URLs and Paths'!$D$11, 1)</f>
        <v>4.5</v>
      </c>
      <c r="I290" s="3"/>
    </row>
    <row r="291">
      <c r="A291" s="15" t="str">
        <f>IFERROR(__xludf.DUMMYFUNCTION("""COMPUTED_VALUE"""),"fas fa-star search star-rating")</f>
        <v>fas fa-star search star-rating</v>
      </c>
      <c r="B291" s="6"/>
      <c r="C291" s="6"/>
      <c r="D291" s="13"/>
      <c r="E291" s="6"/>
      <c r="F291" s="16"/>
      <c r="G291" s="6"/>
      <c r="H291" s="6"/>
      <c r="I291" s="3"/>
    </row>
    <row r="292">
      <c r="A292" s="15" t="str">
        <f>IFERROR(__xludf.DUMMYFUNCTION("""COMPUTED_VALUE"""),"fas fa-star search star-rating")</f>
        <v>fas fa-star search star-rating</v>
      </c>
      <c r="B292" s="6"/>
      <c r="C292" s="6"/>
      <c r="D292" s="13"/>
      <c r="E292" s="6"/>
      <c r="F292" s="16"/>
      <c r="G292" s="6"/>
      <c r="H292" s="6"/>
      <c r="I292" s="3"/>
    </row>
    <row r="293">
      <c r="A293" s="15" t="str">
        <f>IFERROR(__xludf.DUMMYFUNCTION("""COMPUTED_VALUE"""),"fas fa-star search star-rating")</f>
        <v>fas fa-star search star-rating</v>
      </c>
      <c r="B293" s="6"/>
      <c r="C293" s="6"/>
      <c r="D293" s="13"/>
      <c r="E293" s="6"/>
      <c r="F293" s="16"/>
      <c r="G293" s="6"/>
      <c r="H293" s="6"/>
      <c r="I293" s="3"/>
    </row>
    <row r="294">
      <c r="A294" s="15" t="str">
        <f>IFERROR(__xludf.DUMMYFUNCTION("""COMPUTED_VALUE"""),"fas fa-star search star-rating")</f>
        <v>fas fa-star search star-rating</v>
      </c>
      <c r="B294" s="6"/>
      <c r="C294" s="6"/>
      <c r="D294" s="13"/>
      <c r="E294" s="6"/>
      <c r="F294" s="16"/>
      <c r="G294" s="6"/>
      <c r="H294" s="6"/>
      <c r="I294" s="3"/>
    </row>
    <row r="295">
      <c r="A295" s="15" t="str">
        <f>IFERROR(__xludf.DUMMYFUNCTION("""COMPUTED_VALUE"""),"fas fa-star-half search star-rating")</f>
        <v>fas fa-star-half search star-rating</v>
      </c>
      <c r="B295" s="6"/>
      <c r="C295" s="6"/>
      <c r="D295" s="13"/>
      <c r="E295" s="6"/>
      <c r="F295" s="16"/>
      <c r="G295" s="6"/>
      <c r="H295" s="6"/>
      <c r="I295" s="3"/>
    </row>
    <row r="296">
      <c r="A296" s="4" t="str">
        <f>IFERROR(__xludf.DUMMYFUNCTION("""COMPUTED_VALUE"""),"https://www.restomontreal.ca/resto/ibericos-taverne-a-tapas-espagnoles-montreal/11112/en/")</f>
        <v>https://www.restomontreal.ca/resto/ibericos-taverne-a-tapas-espagnoles-montreal/11112/en/</v>
      </c>
      <c r="B296" s="6"/>
      <c r="C296" s="6"/>
      <c r="D296" s="13"/>
      <c r="E296" s="6"/>
      <c r="F296" s="16"/>
      <c r="G296" s="6"/>
      <c r="H296" s="6"/>
      <c r="I296" s="3"/>
    </row>
    <row r="297">
      <c r="A297" s="7" t="str">
        <f>IFERROR(__xludf.DUMMYFUNCTION("""COMPUTED_VALUE""")," Ibéricos Taverne à Tapas Espagnoles ")</f>
        <v> Ibéricos Taverne à Tapas Espagnoles </v>
      </c>
      <c r="B297" s="8" t="str">
        <f>IFERROR(__xludf.DUMMYFUNCTION("IMPORTXML(A296,'URLs and Paths'!$B$4)"),"Loading...")</f>
        <v>Loading...</v>
      </c>
      <c r="C297" s="8" t="str">
        <f>IFS(B297="$", 10,
  B297="$$", 25,
  B297="$$$", 37.5,
  B297="$ &amp; $$", 17.5,
  B297="$ &amp; $$$", 23.75,
  B297="$$ &amp; $$$", 31.25
)</f>
        <v>Loading...</v>
      </c>
      <c r="D297" s="5" t="str">
        <f>IFERROR(__xludf.DUMMYFUNCTION("IMPORTXML(A296,'URLs and Paths'!$B$5)"),"Loading...")</f>
        <v>Loading...</v>
      </c>
      <c r="E297" s="8" t="str">
        <f>IFERROR(__xludf.DUMMYFUNCTION("IMPORTXML(A296,'URLs and Paths'!$B$6)"),"Loading...")</f>
        <v>Loading...</v>
      </c>
      <c r="F297" s="9" t="str">
        <f>IFERROR(__xludf.DUMMYFUNCTION("IMAGE(IMPORTXML(A296,'URLs and Paths'!$B$7))"),"Loading...")</f>
        <v>Loading...</v>
      </c>
      <c r="G297" s="10" t="str">
        <f>TEXTJOIN(",",TRUE,A298:A302)</f>
        <v>fas fa-star search star-rating,fas fa-star search star-rating,fas fa-star search star-rating,fas fa-star search star-rating,fas fa-star-half search star-rating</v>
      </c>
      <c r="H297" s="6">
        <f>IFS(G297 = 'URLs and Paths'!$D$3,5, 
G297='URLs and Paths'!$D$4, 4.5,
G297='URLs and Paths'!$D$5, 4,
G297='URLs and Paths'!$D$6, 3.5,
G297='URLs and Paths'!$D$7, 3,
G297='URLs and Paths'!$D$8, 2.5,
G297='URLs and Paths'!$D$9, 2,
G297='URLs and Paths'!$D$10, 1.5,
G297='URLs and Paths'!$D$11, 1)</f>
        <v>4.5</v>
      </c>
      <c r="I297" s="3"/>
    </row>
    <row r="298">
      <c r="A298" s="15" t="str">
        <f>IFERROR(__xludf.DUMMYFUNCTION("""COMPUTED_VALUE"""),"fas fa-star search star-rating")</f>
        <v>fas fa-star search star-rating</v>
      </c>
      <c r="B298" s="6"/>
      <c r="C298" s="6"/>
      <c r="D298" s="13"/>
      <c r="E298" s="6"/>
      <c r="F298" s="16"/>
      <c r="G298" s="6"/>
      <c r="H298" s="6"/>
      <c r="I298" s="3"/>
    </row>
    <row r="299">
      <c r="A299" s="15" t="str">
        <f>IFERROR(__xludf.DUMMYFUNCTION("""COMPUTED_VALUE"""),"fas fa-star search star-rating")</f>
        <v>fas fa-star search star-rating</v>
      </c>
      <c r="B299" s="6"/>
      <c r="C299" s="6"/>
      <c r="D299" s="13"/>
      <c r="E299" s="6"/>
      <c r="F299" s="16"/>
      <c r="G299" s="6"/>
      <c r="H299" s="6"/>
      <c r="I299" s="3"/>
    </row>
    <row r="300">
      <c r="A300" s="15" t="str">
        <f>IFERROR(__xludf.DUMMYFUNCTION("""COMPUTED_VALUE"""),"fas fa-star search star-rating")</f>
        <v>fas fa-star search star-rating</v>
      </c>
      <c r="B300" s="6"/>
      <c r="C300" s="6"/>
      <c r="D300" s="13"/>
      <c r="E300" s="6"/>
      <c r="F300" s="16"/>
      <c r="G300" s="6"/>
      <c r="H300" s="6"/>
      <c r="I300" s="3"/>
    </row>
    <row r="301">
      <c r="A301" s="15" t="str">
        <f>IFERROR(__xludf.DUMMYFUNCTION("""COMPUTED_VALUE"""),"fas fa-star search star-rating")</f>
        <v>fas fa-star search star-rating</v>
      </c>
      <c r="B301" s="6"/>
      <c r="C301" s="6"/>
      <c r="D301" s="13"/>
      <c r="E301" s="6"/>
      <c r="F301" s="16"/>
      <c r="G301" s="6"/>
      <c r="H301" s="6"/>
      <c r="I301" s="3"/>
    </row>
    <row r="302">
      <c r="A302" s="15" t="str">
        <f>IFERROR(__xludf.DUMMYFUNCTION("""COMPUTED_VALUE"""),"fas fa-star-half search star-rating")</f>
        <v>fas fa-star-half search star-rating</v>
      </c>
      <c r="B302" s="6"/>
      <c r="C302" s="6"/>
      <c r="D302" s="13"/>
      <c r="E302" s="6"/>
      <c r="F302" s="16"/>
      <c r="G302" s="6"/>
      <c r="H302" s="6"/>
      <c r="I302" s="3"/>
    </row>
    <row r="303">
      <c r="A303" s="4" t="str">
        <f>IFERROR(__xludf.DUMMYFUNCTION("""COMPUTED_VALUE"""),"https://www.restomontreal.ca/resto/aux-lilas-montreal/2349/en/")</f>
        <v>https://www.restomontreal.ca/resto/aux-lilas-montreal/2349/en/</v>
      </c>
      <c r="B303" s="6"/>
      <c r="C303" s="6"/>
      <c r="D303" s="13"/>
      <c r="E303" s="6"/>
      <c r="F303" s="16"/>
      <c r="G303" s="6"/>
      <c r="H303" s="6"/>
      <c r="I303" s="3"/>
    </row>
    <row r="304">
      <c r="A304" s="7" t="str">
        <f>IFERROR(__xludf.DUMMYFUNCTION("""COMPUTED_VALUE""")," Aux Lilas ")</f>
        <v> Aux Lilas </v>
      </c>
      <c r="B304" s="8" t="str">
        <f>IFERROR(__xludf.DUMMYFUNCTION("IMPORTXML(A303,'URLs and Paths'!$B$4)"),"Loading...")</f>
        <v>Loading...</v>
      </c>
      <c r="C304" s="8" t="str">
        <f>IFS(B304="$", 10,
  B304="$$", 25,
  B304="$$$", 37.5,
  B304="$ &amp; $$", 17.5,
  B304="$ &amp; $$$", 23.75,
  B304="$$ &amp; $$$", 31.25
)</f>
        <v>Loading...</v>
      </c>
      <c r="D304" s="5" t="str">
        <f>IFERROR(__xludf.DUMMYFUNCTION("IMPORTXML(A303,'URLs and Paths'!$B$5)"),"Loading...")</f>
        <v>Loading...</v>
      </c>
      <c r="E304" s="8" t="str">
        <f>IFERROR(__xludf.DUMMYFUNCTION("IMPORTXML(A303,'URLs and Paths'!$B$6)"),"Loading...")</f>
        <v>Loading...</v>
      </c>
      <c r="F304" s="9" t="str">
        <f>IFERROR(__xludf.DUMMYFUNCTION("IMAGE(IMPORTXML(A303,'URLs and Paths'!$B$7))"),"Loading...")</f>
        <v>Loading...</v>
      </c>
      <c r="G304" s="10" t="str">
        <f>TEXTJOIN(",",TRUE,A305:A309)</f>
        <v>fas fa-star search star-rating,fas fa-star search star-rating,fas fa-star search star-rating,fas fa-star search star-rating,fas fa-star search star-rating</v>
      </c>
      <c r="H304" s="6">
        <f>IFS(G304 = 'URLs and Paths'!$D$3,5, 
G304='URLs and Paths'!$D$4, 4.5,
G304='URLs and Paths'!$D$5, 4,
G304='URLs and Paths'!$D$6, 3.5,
G304='URLs and Paths'!$D$7, 3,
G304='URLs and Paths'!$D$8, 2.5,
G304='URLs and Paths'!$D$9, 2,
G304='URLs and Paths'!$D$10, 1.5,
G304='URLs and Paths'!$D$11, 1)</f>
        <v>5</v>
      </c>
      <c r="I304" s="3"/>
    </row>
    <row r="305">
      <c r="A305" s="15" t="str">
        <f>IFERROR(__xludf.DUMMYFUNCTION("""COMPUTED_VALUE"""),"fas fa-star search star-rating")</f>
        <v>fas fa-star search star-rating</v>
      </c>
      <c r="B305" s="6"/>
      <c r="C305" s="6"/>
      <c r="D305" s="13"/>
      <c r="E305" s="6"/>
      <c r="F305" s="16"/>
      <c r="G305" s="6"/>
      <c r="H305" s="6"/>
      <c r="I305" s="3"/>
    </row>
    <row r="306">
      <c r="A306" s="15" t="str">
        <f>IFERROR(__xludf.DUMMYFUNCTION("""COMPUTED_VALUE"""),"fas fa-star search star-rating")</f>
        <v>fas fa-star search star-rating</v>
      </c>
      <c r="B306" s="6"/>
      <c r="C306" s="6"/>
      <c r="D306" s="13"/>
      <c r="E306" s="6"/>
      <c r="F306" s="16"/>
      <c r="G306" s="6"/>
      <c r="H306" s="6"/>
      <c r="I306" s="3"/>
    </row>
    <row r="307">
      <c r="A307" s="15" t="str">
        <f>IFERROR(__xludf.DUMMYFUNCTION("""COMPUTED_VALUE"""),"fas fa-star search star-rating")</f>
        <v>fas fa-star search star-rating</v>
      </c>
      <c r="B307" s="6"/>
      <c r="C307" s="6"/>
      <c r="D307" s="13"/>
      <c r="E307" s="6"/>
      <c r="F307" s="16"/>
      <c r="G307" s="6"/>
      <c r="H307" s="6"/>
      <c r="I307" s="3"/>
    </row>
    <row r="308">
      <c r="A308" s="15" t="str">
        <f>IFERROR(__xludf.DUMMYFUNCTION("""COMPUTED_VALUE"""),"fas fa-star search star-rating")</f>
        <v>fas fa-star search star-rating</v>
      </c>
      <c r="B308" s="6"/>
      <c r="C308" s="6"/>
      <c r="D308" s="13"/>
      <c r="E308" s="6"/>
      <c r="F308" s="16"/>
      <c r="G308" s="6"/>
      <c r="H308" s="6"/>
      <c r="I308" s="3"/>
    </row>
    <row r="309">
      <c r="A309" s="15" t="str">
        <f>IFERROR(__xludf.DUMMYFUNCTION("""COMPUTED_VALUE"""),"fas fa-star search star-rating")</f>
        <v>fas fa-star search star-rating</v>
      </c>
      <c r="B309" s="6"/>
      <c r="C309" s="6"/>
      <c r="D309" s="13"/>
      <c r="E309" s="6"/>
      <c r="F309" s="16"/>
      <c r="G309" s="6"/>
      <c r="H309" s="6"/>
      <c r="I309" s="3"/>
    </row>
    <row r="310">
      <c r="A310" s="4" t="str">
        <f>IFERROR(__xludf.DUMMYFUNCTION("""COMPUTED_VALUE"""),"https://www.restomontreal.ca/resto/restaurant-manana-montreal/4996/en/")</f>
        <v>https://www.restomontreal.ca/resto/restaurant-manana-montreal/4996/en/</v>
      </c>
      <c r="B310" s="6"/>
      <c r="C310" s="6"/>
      <c r="D310" s="13"/>
      <c r="E310" s="6"/>
      <c r="F310" s="16"/>
      <c r="G310" s="6"/>
      <c r="H310" s="6"/>
      <c r="I310" s="3"/>
    </row>
    <row r="311">
      <c r="A311" s="7" t="str">
        <f>IFERROR(__xludf.DUMMYFUNCTION("""COMPUTED_VALUE""")," Restaurant Manana ")</f>
        <v> Restaurant Manana </v>
      </c>
      <c r="B311" s="8" t="str">
        <f>IFERROR(__xludf.DUMMYFUNCTION("IMPORTXML(A310,'URLs and Paths'!$B$4)"),"$")</f>
        <v>$</v>
      </c>
      <c r="C311" s="8">
        <f>IFS(B311="$", 10,
  B311="$$", 25,
  B311="$$$", 37.5,
  B311="$ &amp; $$", 17.5,
  B311="$ &amp; $$$", 23.75,
  B311="$$ &amp; $$$", 31.25
)</f>
        <v>10</v>
      </c>
      <c r="D311" s="5" t="str">
        <f>IFERROR(__xludf.DUMMYFUNCTION("IMPORTXML(A310,'URLs and Paths'!$B$5)"),"  Master Card, Visa, AMEX, Interac")</f>
        <v>  Master Card, Visa, AMEX, Interac</v>
      </c>
      <c r="E311" s="8" t="str">
        <f>IFERROR(__xludf.DUMMYFUNCTION("IMPORTXML(A310,'URLs and Paths'!$B$6)"),"3605 Rue Saint-Denis, Montreal, H2X 3L6")</f>
        <v>3605 Rue Saint-Denis, Montreal, H2X 3L6</v>
      </c>
      <c r="F311" s="9" t="str">
        <f>IFERROR(__xludf.DUMMYFUNCTION("IMAGE(IMPORTXML(A310,'URLs and Paths'!$B$7))"),"")</f>
        <v/>
      </c>
      <c r="G311" s="10" t="str">
        <f>TEXTJOIN(",",TRUE,A312:A316)</f>
        <v>fas fa-star search star-rating,fas fa-star search star-rating,fas fa-star search star-rating,fas fa-star search star-rating,fas fa-star search star-rating</v>
      </c>
      <c r="H311" s="6">
        <f>IFS(G311 = 'URLs and Paths'!$D$3,5, 
G311='URLs and Paths'!$D$4, 4.5,
G311='URLs and Paths'!$D$5, 4,
G311='URLs and Paths'!$D$6, 3.5,
G311='URLs and Paths'!$D$7, 3,
G311='URLs and Paths'!$D$8, 2.5,
G311='URLs and Paths'!$D$9, 2,
G311='URLs and Paths'!$D$10, 1.5,
G311='URLs and Paths'!$D$11, 1)</f>
        <v>5</v>
      </c>
      <c r="I311" s="3"/>
    </row>
    <row r="312">
      <c r="A312" s="15" t="str">
        <f>IFERROR(__xludf.DUMMYFUNCTION("""COMPUTED_VALUE"""),"fas fa-star search star-rating")</f>
        <v>fas fa-star search star-rating</v>
      </c>
      <c r="B312" s="6"/>
      <c r="C312" s="6"/>
      <c r="D312" s="13"/>
      <c r="E312" s="6"/>
      <c r="F312" s="16"/>
      <c r="G312" s="6"/>
      <c r="H312" s="6"/>
      <c r="I312" s="3"/>
    </row>
    <row r="313">
      <c r="A313" s="15" t="str">
        <f>IFERROR(__xludf.DUMMYFUNCTION("""COMPUTED_VALUE"""),"fas fa-star search star-rating")</f>
        <v>fas fa-star search star-rating</v>
      </c>
      <c r="B313" s="6"/>
      <c r="C313" s="6"/>
      <c r="D313" s="13"/>
      <c r="E313" s="6"/>
      <c r="F313" s="16"/>
      <c r="G313" s="6"/>
      <c r="H313" s="6"/>
      <c r="I313" s="3"/>
    </row>
    <row r="314">
      <c r="A314" s="15" t="str">
        <f>IFERROR(__xludf.DUMMYFUNCTION("""COMPUTED_VALUE"""),"fas fa-star search star-rating")</f>
        <v>fas fa-star search star-rating</v>
      </c>
      <c r="B314" s="6"/>
      <c r="C314" s="6"/>
      <c r="D314" s="13"/>
      <c r="E314" s="6"/>
      <c r="F314" s="16"/>
      <c r="G314" s="6"/>
      <c r="H314" s="6"/>
      <c r="I314" s="3"/>
    </row>
    <row r="315">
      <c r="A315" s="15" t="str">
        <f>IFERROR(__xludf.DUMMYFUNCTION("""COMPUTED_VALUE"""),"fas fa-star search star-rating")</f>
        <v>fas fa-star search star-rating</v>
      </c>
      <c r="B315" s="6"/>
      <c r="C315" s="6"/>
      <c r="D315" s="13"/>
      <c r="E315" s="6"/>
      <c r="F315" s="16"/>
      <c r="G315" s="6"/>
      <c r="H315" s="6"/>
      <c r="I315" s="3"/>
    </row>
    <row r="316">
      <c r="A316" s="15" t="str">
        <f>IFERROR(__xludf.DUMMYFUNCTION("""COMPUTED_VALUE"""),"fas fa-star search star-rating")</f>
        <v>fas fa-star search star-rating</v>
      </c>
      <c r="B316" s="6"/>
      <c r="C316" s="6"/>
      <c r="D316" s="13"/>
      <c r="E316" s="6"/>
      <c r="F316" s="16"/>
      <c r="G316" s="6"/>
      <c r="H316" s="6"/>
      <c r="I316" s="3"/>
    </row>
    <row r="317">
      <c r="A317" s="4" t="str">
        <f>IFERROR(__xludf.DUMMYFUNCTION("""COMPUTED_VALUE"""),"https://www.restomontreal.ca/resto/boca-iberica-montreal/4885/en/")</f>
        <v>https://www.restomontreal.ca/resto/boca-iberica-montreal/4885/en/</v>
      </c>
      <c r="B317" s="6"/>
      <c r="C317" s="6"/>
      <c r="D317" s="13"/>
      <c r="E317" s="6"/>
      <c r="F317" s="16"/>
      <c r="G317" s="6"/>
      <c r="H317" s="6"/>
      <c r="I317" s="3"/>
    </row>
    <row r="318">
      <c r="A318" s="7" t="str">
        <f>IFERROR(__xludf.DUMMYFUNCTION("""COMPUTED_VALUE""")," BOCA Iberica ")</f>
        <v> BOCA Iberica </v>
      </c>
      <c r="B318" s="8" t="str">
        <f>IFERROR(__xludf.DUMMYFUNCTION("IMPORTXML(A317,'URLs and Paths'!$B$4)"),"Loading...")</f>
        <v>Loading...</v>
      </c>
      <c r="C318" s="8" t="str">
        <f>IFS(B318="$", 10,
  B318="$$", 25,
  B318="$$$", 37.5,
  B318="$ &amp; $$", 17.5,
  B318="$ &amp; $$$", 23.75,
  B318="$$ &amp; $$$", 31.25
)</f>
        <v>Loading...</v>
      </c>
      <c r="D318" s="5" t="str">
        <f>IFERROR(__xludf.DUMMYFUNCTION("IMPORTXML(A317,'URLs and Paths'!$B$5)"),"Loading...")</f>
        <v>Loading...</v>
      </c>
      <c r="E318" s="8" t="str">
        <f>IFERROR(__xludf.DUMMYFUNCTION("IMPORTXML(A317,'URLs and Paths'!$B$6)"),"Loading...")</f>
        <v>Loading...</v>
      </c>
      <c r="F318" s="9" t="str">
        <f>IFERROR(__xludf.DUMMYFUNCTION("IMAGE(IMPORTXML(A317,'URLs and Paths'!$B$7))"),"Loading...")</f>
        <v>Loading...</v>
      </c>
      <c r="G318" s="10" t="str">
        <f>TEXTJOIN(",",TRUE,A319:A323)</f>
        <v>fas fa-star search star-rating,fas fa-star search star-rating,fas fa-star search star-rating,fas fa-star search star-rating,fas fa-star search star-rating</v>
      </c>
      <c r="H318" s="6">
        <f>IFS(G318 = 'URLs and Paths'!$D$3,5, 
G318='URLs and Paths'!$D$4, 4.5,
G318='URLs and Paths'!$D$5, 4,
G318='URLs and Paths'!$D$6, 3.5,
G318='URLs and Paths'!$D$7, 3,
G318='URLs and Paths'!$D$8, 2.5,
G318='URLs and Paths'!$D$9, 2,
G318='URLs and Paths'!$D$10, 1.5,
G318='URLs and Paths'!$D$11, 1)</f>
        <v>5</v>
      </c>
      <c r="I318" s="3"/>
    </row>
    <row r="319">
      <c r="A319" s="15" t="str">
        <f>IFERROR(__xludf.DUMMYFUNCTION("""COMPUTED_VALUE"""),"fas fa-star search star-rating")</f>
        <v>fas fa-star search star-rating</v>
      </c>
      <c r="B319" s="6"/>
      <c r="C319" s="6"/>
      <c r="D319" s="13"/>
      <c r="E319" s="6"/>
      <c r="F319" s="16"/>
      <c r="G319" s="6"/>
      <c r="H319" s="6"/>
      <c r="I319" s="3"/>
    </row>
    <row r="320">
      <c r="A320" s="15" t="str">
        <f>IFERROR(__xludf.DUMMYFUNCTION("""COMPUTED_VALUE"""),"fas fa-star search star-rating")</f>
        <v>fas fa-star search star-rating</v>
      </c>
      <c r="B320" s="6"/>
      <c r="C320" s="6"/>
      <c r="D320" s="13"/>
      <c r="E320" s="6"/>
      <c r="F320" s="16"/>
      <c r="G320" s="6"/>
      <c r="H320" s="6"/>
      <c r="I320" s="3"/>
    </row>
    <row r="321">
      <c r="A321" s="15" t="str">
        <f>IFERROR(__xludf.DUMMYFUNCTION("""COMPUTED_VALUE"""),"fas fa-star search star-rating")</f>
        <v>fas fa-star search star-rating</v>
      </c>
      <c r="B321" s="6"/>
      <c r="C321" s="6"/>
      <c r="D321" s="13"/>
      <c r="E321" s="6"/>
      <c r="F321" s="16"/>
      <c r="G321" s="6"/>
      <c r="H321" s="6"/>
      <c r="I321" s="3"/>
    </row>
    <row r="322">
      <c r="A322" s="15" t="str">
        <f>IFERROR(__xludf.DUMMYFUNCTION("""COMPUTED_VALUE"""),"fas fa-star search star-rating")</f>
        <v>fas fa-star search star-rating</v>
      </c>
      <c r="B322" s="6"/>
      <c r="C322" s="6"/>
      <c r="D322" s="13"/>
      <c r="E322" s="6"/>
      <c r="F322" s="16"/>
      <c r="G322" s="6"/>
      <c r="H322" s="6"/>
      <c r="I322" s="3"/>
    </row>
    <row r="323">
      <c r="A323" s="15" t="str">
        <f>IFERROR(__xludf.DUMMYFUNCTION("""COMPUTED_VALUE"""),"fas fa-star search star-rating")</f>
        <v>fas fa-star search star-rating</v>
      </c>
      <c r="B323" s="6"/>
      <c r="C323" s="6"/>
      <c r="D323" s="13"/>
      <c r="E323" s="6"/>
      <c r="F323" s="16"/>
      <c r="G323" s="6"/>
      <c r="H323" s="6"/>
      <c r="I323" s="3"/>
    </row>
    <row r="324">
      <c r="A324" s="4" t="str">
        <f>IFERROR(__xludf.DUMMYFUNCTION("""COMPUTED_VALUE"""),"https://www.restomontreal.ca/resto/el-lounge-resto-bar-montreal/17209/en/")</f>
        <v>https://www.restomontreal.ca/resto/el-lounge-resto-bar-montreal/17209/en/</v>
      </c>
      <c r="B324" s="6"/>
      <c r="C324" s="6"/>
      <c r="D324" s="13"/>
      <c r="E324" s="6"/>
      <c r="F324" s="16"/>
      <c r="G324" s="6"/>
      <c r="H324" s="6"/>
      <c r="I324" s="3"/>
    </row>
    <row r="325">
      <c r="A325" s="7" t="str">
        <f>IFERROR(__xludf.DUMMYFUNCTION("""COMPUTED_VALUE""")," El Lounge Resto-Bar ")</f>
        <v> El Lounge Resto-Bar </v>
      </c>
      <c r="B325" s="8" t="str">
        <f>IFERROR(__xludf.DUMMYFUNCTION("IMPORTXML(A324,'URLs and Paths'!$B$4)"),"$$ &amp; $$$")</f>
        <v>$$ &amp; $$$</v>
      </c>
      <c r="C325" s="8">
        <f>IFS(B325="$", 10,
  B325="$$", 25,
  B325="$$$", 37.5,
  B325="$ &amp; $$", 17.5,
  B325="$ &amp; $$$", 23.75,
  B325="$$ &amp; $$$", 31.25
)</f>
        <v>31.25</v>
      </c>
      <c r="D325" s="5" t="str">
        <f>IFERROR(__xludf.DUMMYFUNCTION("IMPORTXML(A324,'URLs and Paths'!$B$5)"),"  Master Card, Visa, AMEX, Interac, Mobile Payment, Contactless Payment")</f>
        <v>  Master Card, Visa, AMEX, Interac, Mobile Payment, Contactless Payment</v>
      </c>
      <c r="E325" s="8" t="str">
        <f>IFERROR(__xludf.DUMMYFUNCTION("IMPORTXML(A324,'URLs and Paths'!$B$6)"),"1735 Rue St-Denis, Montreal, H2X 3K4")</f>
        <v>1735 Rue St-Denis, Montreal, H2X 3K4</v>
      </c>
      <c r="F325" s="9" t="str">
        <f>IFERROR(__xludf.DUMMYFUNCTION("IMAGE(IMPORTXML(A324,'URLs and Paths'!$B$7))"),"")</f>
        <v/>
      </c>
      <c r="G325" s="10" t="str">
        <f>TEXTJOIN(",",TRUE,A326:A330)</f>
        <v>fas fa-star search star-rating,fas fa-star search star-rating,fas fa-star search star-rating,fas fa-star search star-rating,fas fa-star search star-rating</v>
      </c>
      <c r="H325" s="6">
        <f>IFS(G325 = 'URLs and Paths'!$D$3,5, 
G325='URLs and Paths'!$D$4, 4.5,
G325='URLs and Paths'!$D$5, 4,
G325='URLs and Paths'!$D$6, 3.5,
G325='URLs and Paths'!$D$7, 3,
G325='URLs and Paths'!$D$8, 2.5,
G325='URLs and Paths'!$D$9, 2,
G325='URLs and Paths'!$D$10, 1.5,
G325='URLs and Paths'!$D$11, 1)</f>
        <v>5</v>
      </c>
      <c r="I325" s="3"/>
    </row>
    <row r="326">
      <c r="A326" s="15" t="str">
        <f>IFERROR(__xludf.DUMMYFUNCTION("""COMPUTED_VALUE"""),"fas fa-star search star-rating")</f>
        <v>fas fa-star search star-rating</v>
      </c>
      <c r="B326" s="6"/>
      <c r="C326" s="6"/>
      <c r="D326" s="13"/>
      <c r="E326" s="6"/>
      <c r="F326" s="16"/>
      <c r="G326" s="6"/>
      <c r="H326" s="6"/>
      <c r="I326" s="3"/>
    </row>
    <row r="327">
      <c r="A327" s="15" t="str">
        <f>IFERROR(__xludf.DUMMYFUNCTION("""COMPUTED_VALUE"""),"fas fa-star search star-rating")</f>
        <v>fas fa-star search star-rating</v>
      </c>
      <c r="B327" s="6"/>
      <c r="C327" s="6"/>
      <c r="D327" s="13"/>
      <c r="E327" s="6"/>
      <c r="F327" s="16"/>
      <c r="G327" s="6"/>
      <c r="H327" s="6"/>
      <c r="I327" s="3"/>
    </row>
    <row r="328">
      <c r="A328" s="15" t="str">
        <f>IFERROR(__xludf.DUMMYFUNCTION("""COMPUTED_VALUE"""),"fas fa-star search star-rating")</f>
        <v>fas fa-star search star-rating</v>
      </c>
      <c r="B328" s="6"/>
      <c r="C328" s="6"/>
      <c r="D328" s="13"/>
      <c r="E328" s="6"/>
      <c r="F328" s="16"/>
      <c r="G328" s="6"/>
      <c r="H328" s="6"/>
      <c r="I328" s="3"/>
    </row>
    <row r="329">
      <c r="A329" s="15" t="str">
        <f>IFERROR(__xludf.DUMMYFUNCTION("""COMPUTED_VALUE"""),"fas fa-star search star-rating")</f>
        <v>fas fa-star search star-rating</v>
      </c>
      <c r="B329" s="6"/>
      <c r="C329" s="6"/>
      <c r="D329" s="13"/>
      <c r="E329" s="6"/>
      <c r="F329" s="16"/>
      <c r="G329" s="6"/>
      <c r="H329" s="6"/>
      <c r="I329" s="3"/>
    </row>
    <row r="330">
      <c r="A330" s="15" t="str">
        <f>IFERROR(__xludf.DUMMYFUNCTION("""COMPUTED_VALUE"""),"fas fa-star search star-rating")</f>
        <v>fas fa-star search star-rating</v>
      </c>
      <c r="B330" s="6"/>
      <c r="C330" s="6"/>
      <c r="D330" s="13"/>
      <c r="E330" s="6"/>
      <c r="F330" s="16"/>
      <c r="G330" s="6"/>
      <c r="H330" s="6"/>
      <c r="I330" s="3"/>
    </row>
    <row r="331">
      <c r="A331" s="4" t="str">
        <f>IFERROR(__xludf.DUMMYFUNCTION("""COMPUTED_VALUE"""),"https://www.restomontreal.ca/resto/la-selva-restaurant-mexicain-montreal/1640/en/")</f>
        <v>https://www.restomontreal.ca/resto/la-selva-restaurant-mexicain-montreal/1640/en/</v>
      </c>
      <c r="B331" s="6"/>
      <c r="C331" s="6"/>
      <c r="D331" s="13"/>
      <c r="E331" s="6"/>
      <c r="F331" s="16"/>
      <c r="G331" s="6"/>
      <c r="H331" s="6"/>
      <c r="I331" s="3"/>
    </row>
    <row r="332">
      <c r="A332" s="7" t="str">
        <f>IFERROR(__xludf.DUMMYFUNCTION("""COMPUTED_VALUE""")," La Selva Restaurant Mexicain ")</f>
        <v> La Selva Restaurant Mexicain </v>
      </c>
      <c r="B332" s="8" t="str">
        <f>IFERROR(__xludf.DUMMYFUNCTION("IMPORTXML(A331,'URLs and Paths'!$B$4)"),"$")</f>
        <v>$</v>
      </c>
      <c r="C332" s="8">
        <f>IFS(B332="$", 10,
  B332="$$", 25,
  B332="$$$", 37.5,
  B332="$ &amp; $$", 17.5,
  B332="$ &amp; $$$", 23.75,
  B332="$$ &amp; $$$", 31.25
)</f>
        <v>10</v>
      </c>
      <c r="D332" s="5" t="str">
        <f>IFERROR(__xludf.DUMMYFUNCTION("IMPORTXML(A331,'URLs and Paths'!$B$5)"),"  Master Card, Visa, AMEX, Interac")</f>
        <v>  Master Card, Visa, AMEX, Interac</v>
      </c>
      <c r="E332" s="8" t="str">
        <f>IFERROR(__xludf.DUMMYFUNCTION("IMPORTXML(A331,'URLs and Paths'!$B$6)"),"862 Rue Marie-Anne E, Montreal, H2J 2A9")</f>
        <v>862 Rue Marie-Anne E, Montreal, H2J 2A9</v>
      </c>
      <c r="F332" s="9" t="str">
        <f>IFERROR(__xludf.DUMMYFUNCTION("IMAGE(IMPORTXML(A331,'URLs and Paths'!$B$7))"),"")</f>
        <v/>
      </c>
      <c r="G332" s="10" t="str">
        <f>TEXTJOIN(",",TRUE,A333:A337)</f>
        <v>fas fa-star search star-rating,fas fa-star search star-rating,fas fa-star search star-rating,fas fa-star search star-rating,fas fa-star search star-rating</v>
      </c>
      <c r="H332" s="6">
        <f>IFS(G332 = 'URLs and Paths'!$D$3,5, 
G332='URLs and Paths'!$D$4, 4.5,
G332='URLs and Paths'!$D$5, 4,
G332='URLs and Paths'!$D$6, 3.5,
G332='URLs and Paths'!$D$7, 3,
G332='URLs and Paths'!$D$8, 2.5,
G332='URLs and Paths'!$D$9, 2,
G332='URLs and Paths'!$D$10, 1.5,
G332='URLs and Paths'!$D$11, 1)</f>
        <v>5</v>
      </c>
      <c r="I332" s="3"/>
    </row>
    <row r="333">
      <c r="A333" s="15" t="str">
        <f>IFERROR(__xludf.DUMMYFUNCTION("""COMPUTED_VALUE"""),"fas fa-star search star-rating")</f>
        <v>fas fa-star search star-rating</v>
      </c>
      <c r="B333" s="6"/>
      <c r="C333" s="6"/>
      <c r="D333" s="13"/>
      <c r="E333" s="6"/>
      <c r="F333" s="16"/>
      <c r="G333" s="6"/>
      <c r="H333" s="6"/>
      <c r="I333" s="3"/>
    </row>
    <row r="334">
      <c r="A334" s="15" t="str">
        <f>IFERROR(__xludf.DUMMYFUNCTION("""COMPUTED_VALUE"""),"fas fa-star search star-rating")</f>
        <v>fas fa-star search star-rating</v>
      </c>
      <c r="B334" s="6"/>
      <c r="C334" s="6"/>
      <c r="D334" s="13"/>
      <c r="E334" s="6"/>
      <c r="F334" s="16"/>
      <c r="G334" s="6"/>
      <c r="H334" s="6"/>
      <c r="I334" s="3"/>
    </row>
    <row r="335">
      <c r="A335" s="15" t="str">
        <f>IFERROR(__xludf.DUMMYFUNCTION("""COMPUTED_VALUE"""),"fas fa-star search star-rating")</f>
        <v>fas fa-star search star-rating</v>
      </c>
      <c r="B335" s="6"/>
      <c r="C335" s="6"/>
      <c r="D335" s="13"/>
      <c r="E335" s="6"/>
      <c r="F335" s="16"/>
      <c r="G335" s="6"/>
      <c r="H335" s="6"/>
      <c r="I335" s="3"/>
    </row>
    <row r="336">
      <c r="A336" s="15" t="str">
        <f>IFERROR(__xludf.DUMMYFUNCTION("""COMPUTED_VALUE"""),"fas fa-star search star-rating")</f>
        <v>fas fa-star search star-rating</v>
      </c>
      <c r="B336" s="6"/>
      <c r="C336" s="6"/>
      <c r="D336" s="13"/>
      <c r="E336" s="6"/>
      <c r="F336" s="16"/>
      <c r="G336" s="6"/>
      <c r="H336" s="6"/>
      <c r="I336" s="3"/>
    </row>
    <row r="337">
      <c r="A337" s="15" t="str">
        <f>IFERROR(__xludf.DUMMYFUNCTION("""COMPUTED_VALUE"""),"fas fa-star search star-rating")</f>
        <v>fas fa-star search star-rating</v>
      </c>
      <c r="B337" s="6"/>
      <c r="C337" s="6"/>
      <c r="D337" s="13"/>
      <c r="E337" s="6"/>
      <c r="F337" s="16"/>
      <c r="G337" s="6"/>
      <c r="H337" s="6"/>
      <c r="I337" s="3"/>
    </row>
    <row r="338">
      <c r="A338" s="4" t="str">
        <f>IFERROR(__xludf.DUMMYFUNCTION("""COMPUTED_VALUE"""),"https://www.restomontreal.ca/resto/la-binerie-mont-royal-montreal/1117/en/")</f>
        <v>https://www.restomontreal.ca/resto/la-binerie-mont-royal-montreal/1117/en/</v>
      </c>
      <c r="B338" s="6"/>
      <c r="C338" s="6"/>
      <c r="D338" s="13"/>
      <c r="E338" s="6"/>
      <c r="F338" s="16"/>
      <c r="G338" s="6"/>
      <c r="H338" s="6"/>
      <c r="I338" s="3"/>
    </row>
    <row r="339">
      <c r="A339" s="7" t="str">
        <f>IFERROR(__xludf.DUMMYFUNCTION("""COMPUTED_VALUE""")," La Binerie Mont Royal ")</f>
        <v> La Binerie Mont Royal </v>
      </c>
      <c r="B339" s="8" t="str">
        <f>IFERROR(__xludf.DUMMYFUNCTION("IMPORTXML(A338,'URLs and Paths'!$B$4)"),"Loading...")</f>
        <v>Loading...</v>
      </c>
      <c r="C339" s="8" t="str">
        <f>IFS(B339="$", 10,
  B339="$$", 25,
  B339="$$$", 37.5,
  B339="$ &amp; $$", 17.5,
  B339="$ &amp; $$$", 23.75,
  B339="$$ &amp; $$$", 31.25
)</f>
        <v>Loading...</v>
      </c>
      <c r="D339" s="5" t="str">
        <f>IFERROR(__xludf.DUMMYFUNCTION("IMPORTXML(A338,'URLs and Paths'!$B$5)"),"Loading...")</f>
        <v>Loading...</v>
      </c>
      <c r="E339" s="8" t="str">
        <f>IFERROR(__xludf.DUMMYFUNCTION("IMPORTXML(A338,'URLs and Paths'!$B$6)"),"Loading...")</f>
        <v>Loading...</v>
      </c>
      <c r="F339" s="9" t="str">
        <f>IFERROR(__xludf.DUMMYFUNCTION("IMAGE(IMPORTXML(A338,'URLs and Paths'!$B$7))"),"Loading...")</f>
        <v>Loading...</v>
      </c>
      <c r="G339" s="10" t="str">
        <f>TEXTJOIN(",",TRUE,A340:A344)</f>
        <v>fas fa-star search star-rating,fas fa-star search star-rating,fas fa-star search star-rating,fas fa-star search star-rating,fas fa-star-half search star-rating</v>
      </c>
      <c r="H339" s="6">
        <f>IFS(G339 = 'URLs and Paths'!$D$3,5, 
G339='URLs and Paths'!$D$4, 4.5,
G339='URLs and Paths'!$D$5, 4,
G339='URLs and Paths'!$D$6, 3.5,
G339='URLs and Paths'!$D$7, 3,
G339='URLs and Paths'!$D$8, 2.5,
G339='URLs and Paths'!$D$9, 2,
G339='URLs and Paths'!$D$10, 1.5,
G339='URLs and Paths'!$D$11, 1)</f>
        <v>4.5</v>
      </c>
      <c r="I339" s="3"/>
    </row>
    <row r="340">
      <c r="A340" s="15" t="str">
        <f>IFERROR(__xludf.DUMMYFUNCTION("""COMPUTED_VALUE"""),"fas fa-star search star-rating")</f>
        <v>fas fa-star search star-rating</v>
      </c>
      <c r="B340" s="6"/>
      <c r="C340" s="6"/>
      <c r="D340" s="13"/>
      <c r="E340" s="6"/>
      <c r="F340" s="16"/>
      <c r="G340" s="6"/>
      <c r="H340" s="6"/>
      <c r="I340" s="3"/>
    </row>
    <row r="341">
      <c r="A341" s="15" t="str">
        <f>IFERROR(__xludf.DUMMYFUNCTION("""COMPUTED_VALUE"""),"fas fa-star search star-rating")</f>
        <v>fas fa-star search star-rating</v>
      </c>
      <c r="B341" s="6"/>
      <c r="C341" s="6"/>
      <c r="D341" s="13"/>
      <c r="E341" s="6"/>
      <c r="F341" s="16"/>
      <c r="G341" s="6"/>
      <c r="H341" s="6"/>
      <c r="I341" s="3"/>
    </row>
    <row r="342">
      <c r="A342" s="15" t="str">
        <f>IFERROR(__xludf.DUMMYFUNCTION("""COMPUTED_VALUE"""),"fas fa-star search star-rating")</f>
        <v>fas fa-star search star-rating</v>
      </c>
      <c r="B342" s="6"/>
      <c r="C342" s="6"/>
      <c r="D342" s="13"/>
      <c r="E342" s="6"/>
      <c r="F342" s="16"/>
      <c r="G342" s="6"/>
      <c r="H342" s="6"/>
      <c r="I342" s="3"/>
    </row>
    <row r="343">
      <c r="A343" s="15" t="str">
        <f>IFERROR(__xludf.DUMMYFUNCTION("""COMPUTED_VALUE"""),"fas fa-star search star-rating")</f>
        <v>fas fa-star search star-rating</v>
      </c>
      <c r="B343" s="6"/>
      <c r="C343" s="6"/>
      <c r="D343" s="13"/>
      <c r="E343" s="6"/>
      <c r="F343" s="16"/>
      <c r="G343" s="6"/>
      <c r="H343" s="6"/>
      <c r="I343" s="3"/>
    </row>
    <row r="344">
      <c r="A344" s="15" t="str">
        <f>IFERROR(__xludf.DUMMYFUNCTION("""COMPUTED_VALUE"""),"fas fa-star-half search star-rating")</f>
        <v>fas fa-star-half search star-rating</v>
      </c>
      <c r="B344" s="6"/>
      <c r="C344" s="6"/>
      <c r="D344" s="13"/>
      <c r="E344" s="6"/>
      <c r="F344" s="16"/>
      <c r="G344" s="6"/>
      <c r="H344" s="6"/>
      <c r="I344" s="3"/>
    </row>
    <row r="345">
      <c r="A345" s="4" t="str">
        <f>IFERROR(__xludf.DUMMYFUNCTION("""COMPUTED_VALUE"""),"https://www.restomontreal.ca/resto/plein-sud-montreal/2492/en/")</f>
        <v>https://www.restomontreal.ca/resto/plein-sud-montreal/2492/en/</v>
      </c>
      <c r="B345" s="6"/>
      <c r="C345" s="6"/>
      <c r="D345" s="13"/>
      <c r="E345" s="6"/>
      <c r="F345" s="16"/>
      <c r="G345" s="6"/>
      <c r="H345" s="6"/>
      <c r="I345" s="3"/>
    </row>
    <row r="346">
      <c r="A346" s="7" t="str">
        <f>IFERROR(__xludf.DUMMYFUNCTION("""COMPUTED_VALUE""")," Plein Sud ")</f>
        <v> Plein Sud </v>
      </c>
      <c r="B346" s="8" t="str">
        <f>IFERROR(__xludf.DUMMYFUNCTION("IMPORTXML(A345,'URLs and Paths'!$B$4)"),"Loading...")</f>
        <v>Loading...</v>
      </c>
      <c r="C346" s="8" t="str">
        <f>IFS(B346="$", 10,
  B346="$$", 25,
  B346="$$$", 37.5,
  B346="$ &amp; $$", 17.5,
  B346="$ &amp; $$$", 23.75,
  B346="$$ &amp; $$$", 31.25
)</f>
        <v>Loading...</v>
      </c>
      <c r="D346" s="5" t="str">
        <f>IFERROR(__xludf.DUMMYFUNCTION("IMPORTXML(A345,'URLs and Paths'!$B$5)"),"Loading...")</f>
        <v>Loading...</v>
      </c>
      <c r="E346" s="8" t="str">
        <f>IFERROR(__xludf.DUMMYFUNCTION("IMPORTXML(A345,'URLs and Paths'!$B$6)"),"Loading...")</f>
        <v>Loading...</v>
      </c>
      <c r="F346" s="9" t="str">
        <f>IFERROR(__xludf.DUMMYFUNCTION("IMAGE(IMPORTXML(A345,'URLs and Paths'!$B$7))"),"Loading...")</f>
        <v>Loading...</v>
      </c>
      <c r="G346" s="10" t="str">
        <f>TEXTJOIN(",",TRUE,A347:A351)</f>
        <v>fas fa-star search star-rating,fas fa-star search star-rating,fas fa-star search star-rating,fas fa-star search star-rating,fas fa-star search star-rating</v>
      </c>
      <c r="H346" s="6">
        <f>IFS(G346 = 'URLs and Paths'!$D$3,5, 
G346='URLs and Paths'!$D$4, 4.5,
G346='URLs and Paths'!$D$5, 4,
G346='URLs and Paths'!$D$6, 3.5,
G346='URLs and Paths'!$D$7, 3,
G346='URLs and Paths'!$D$8, 2.5,
G346='URLs and Paths'!$D$9, 2,
G346='URLs and Paths'!$D$10, 1.5,
G346='URLs and Paths'!$D$11, 1)</f>
        <v>5</v>
      </c>
      <c r="I346" s="3"/>
    </row>
    <row r="347">
      <c r="A347" s="15" t="str">
        <f>IFERROR(__xludf.DUMMYFUNCTION("""COMPUTED_VALUE"""),"fas fa-star search star-rating")</f>
        <v>fas fa-star search star-rating</v>
      </c>
      <c r="B347" s="6"/>
      <c r="C347" s="6"/>
      <c r="D347" s="13"/>
      <c r="E347" s="6"/>
      <c r="F347" s="16"/>
      <c r="G347" s="6"/>
      <c r="H347" s="6"/>
      <c r="I347" s="3"/>
    </row>
    <row r="348">
      <c r="A348" s="15" t="str">
        <f>IFERROR(__xludf.DUMMYFUNCTION("""COMPUTED_VALUE"""),"fas fa-star search star-rating")</f>
        <v>fas fa-star search star-rating</v>
      </c>
      <c r="B348" s="6"/>
      <c r="C348" s="6"/>
      <c r="D348" s="13"/>
      <c r="E348" s="6"/>
      <c r="F348" s="16"/>
      <c r="G348" s="6"/>
      <c r="H348" s="6"/>
      <c r="I348" s="3"/>
    </row>
    <row r="349">
      <c r="A349" s="15" t="str">
        <f>IFERROR(__xludf.DUMMYFUNCTION("""COMPUTED_VALUE"""),"fas fa-star search star-rating")</f>
        <v>fas fa-star search star-rating</v>
      </c>
      <c r="B349" s="6"/>
      <c r="C349" s="6"/>
      <c r="D349" s="13"/>
      <c r="E349" s="6"/>
      <c r="F349" s="16"/>
      <c r="G349" s="6"/>
      <c r="H349" s="6"/>
      <c r="I349" s="3"/>
    </row>
    <row r="350">
      <c r="A350" s="15" t="str">
        <f>IFERROR(__xludf.DUMMYFUNCTION("""COMPUTED_VALUE"""),"fas fa-star search star-rating")</f>
        <v>fas fa-star search star-rating</v>
      </c>
      <c r="B350" s="6"/>
      <c r="C350" s="6"/>
      <c r="D350" s="13"/>
      <c r="E350" s="6"/>
      <c r="F350" s="16"/>
      <c r="G350" s="6"/>
      <c r="H350" s="6"/>
      <c r="I350" s="3"/>
    </row>
    <row r="351">
      <c r="A351" s="15" t="str">
        <f>IFERROR(__xludf.DUMMYFUNCTION("""COMPUTED_VALUE"""),"fas fa-star search star-rating")</f>
        <v>fas fa-star search star-rating</v>
      </c>
      <c r="B351" s="6"/>
      <c r="C351" s="6"/>
      <c r="D351" s="13"/>
      <c r="E351" s="6"/>
      <c r="F351" s="16"/>
      <c r="G351" s="6"/>
      <c r="H351" s="6"/>
      <c r="I351" s="3"/>
    </row>
    <row r="352">
      <c r="I352" s="3"/>
    </row>
    <row r="353">
      <c r="I353" s="3"/>
    </row>
    <row r="354">
      <c r="I354" s="3"/>
    </row>
    <row r="355">
      <c r="I355" s="3"/>
    </row>
    <row r="356">
      <c r="I356" s="3"/>
    </row>
    <row r="357">
      <c r="I357" s="3"/>
    </row>
    <row r="358">
      <c r="I358" s="3"/>
    </row>
    <row r="359">
      <c r="I359" s="3"/>
    </row>
    <row r="360">
      <c r="I360" s="3"/>
    </row>
    <row r="361">
      <c r="I361" s="3"/>
    </row>
    <row r="362">
      <c r="I362" s="3"/>
    </row>
    <row r="363">
      <c r="I363" s="3"/>
    </row>
    <row r="364">
      <c r="I364" s="3"/>
    </row>
    <row r="365">
      <c r="I365" s="3"/>
    </row>
    <row r="366">
      <c r="I366" s="3"/>
    </row>
    <row r="367">
      <c r="I367" s="3"/>
    </row>
    <row r="368">
      <c r="I368" s="3"/>
    </row>
    <row r="369">
      <c r="I369" s="3"/>
    </row>
    <row r="370">
      <c r="I370" s="3"/>
    </row>
    <row r="371">
      <c r="I371" s="3"/>
    </row>
    <row r="372">
      <c r="I372" s="3"/>
    </row>
    <row r="373">
      <c r="I373" s="3"/>
    </row>
    <row r="374">
      <c r="I374" s="3"/>
    </row>
    <row r="375">
      <c r="I375" s="3"/>
    </row>
    <row r="376">
      <c r="I376" s="3"/>
    </row>
    <row r="377">
      <c r="I377" s="3"/>
    </row>
    <row r="378">
      <c r="I378" s="3"/>
    </row>
    <row r="379">
      <c r="I379" s="3"/>
    </row>
    <row r="380">
      <c r="I380" s="3"/>
    </row>
    <row r="381">
      <c r="I381" s="3"/>
    </row>
    <row r="382">
      <c r="I382" s="3"/>
    </row>
    <row r="383">
      <c r="I383" s="3"/>
    </row>
    <row r="384">
      <c r="I384" s="3"/>
    </row>
    <row r="385">
      <c r="I385" s="3"/>
    </row>
    <row r="386">
      <c r="I386" s="3"/>
    </row>
    <row r="387">
      <c r="I387" s="3"/>
    </row>
    <row r="388">
      <c r="I388" s="3"/>
    </row>
    <row r="389">
      <c r="I389" s="3"/>
    </row>
    <row r="390">
      <c r="I390" s="3"/>
    </row>
    <row r="391">
      <c r="I391" s="3"/>
    </row>
    <row r="392">
      <c r="I392" s="3"/>
    </row>
    <row r="393">
      <c r="I393" s="3"/>
    </row>
    <row r="394">
      <c r="I394" s="3"/>
    </row>
    <row r="395">
      <c r="I395" s="3"/>
    </row>
    <row r="396">
      <c r="I396" s="3"/>
    </row>
    <row r="397">
      <c r="I397" s="3"/>
    </row>
    <row r="398">
      <c r="I398" s="3"/>
    </row>
    <row r="399">
      <c r="I399" s="3"/>
    </row>
    <row r="400">
      <c r="I400" s="3"/>
    </row>
    <row r="401">
      <c r="I401" s="3"/>
    </row>
    <row r="402">
      <c r="I402" s="3"/>
    </row>
    <row r="403">
      <c r="I403" s="3"/>
    </row>
    <row r="404">
      <c r="I404" s="3"/>
    </row>
    <row r="405">
      <c r="I405" s="3"/>
    </row>
    <row r="406">
      <c r="I406" s="3"/>
    </row>
    <row r="407">
      <c r="I407" s="3"/>
    </row>
    <row r="408">
      <c r="I408" s="3"/>
    </row>
    <row r="409">
      <c r="I409" s="3"/>
    </row>
    <row r="410">
      <c r="I410" s="3"/>
    </row>
    <row r="411">
      <c r="I411" s="3"/>
    </row>
    <row r="412">
      <c r="I412" s="3"/>
    </row>
    <row r="413">
      <c r="I413" s="3"/>
    </row>
    <row r="414">
      <c r="I414" s="3"/>
    </row>
    <row r="415">
      <c r="I415" s="3"/>
    </row>
    <row r="416">
      <c r="I416" s="3"/>
    </row>
    <row r="417">
      <c r="I417" s="3"/>
    </row>
    <row r="418">
      <c r="I418" s="3"/>
    </row>
    <row r="419">
      <c r="I419" s="3"/>
    </row>
    <row r="420">
      <c r="I420" s="3"/>
    </row>
    <row r="421">
      <c r="I421" s="3"/>
    </row>
    <row r="422">
      <c r="I422" s="3"/>
    </row>
    <row r="423">
      <c r="I423" s="3"/>
    </row>
    <row r="424">
      <c r="I424" s="3"/>
    </row>
    <row r="425">
      <c r="I425" s="3"/>
    </row>
    <row r="426">
      <c r="I426" s="3"/>
    </row>
    <row r="427">
      <c r="I427" s="3"/>
    </row>
    <row r="428">
      <c r="I428" s="3"/>
    </row>
    <row r="429">
      <c r="I429" s="3"/>
    </row>
    <row r="430">
      <c r="I430" s="3"/>
    </row>
    <row r="431">
      <c r="I431" s="3"/>
    </row>
    <row r="432">
      <c r="I432" s="3"/>
    </row>
    <row r="433">
      <c r="I433" s="3"/>
    </row>
    <row r="434">
      <c r="I434" s="3"/>
    </row>
    <row r="435">
      <c r="I435" s="3"/>
    </row>
    <row r="436">
      <c r="I436" s="3"/>
    </row>
    <row r="437">
      <c r="I437" s="3"/>
    </row>
    <row r="438">
      <c r="I438" s="3"/>
    </row>
    <row r="439">
      <c r="I439" s="3"/>
    </row>
    <row r="440">
      <c r="I440" s="3"/>
    </row>
    <row r="441">
      <c r="I441" s="3"/>
    </row>
    <row r="442">
      <c r="I442" s="3"/>
    </row>
    <row r="443">
      <c r="I443" s="3"/>
    </row>
    <row r="444">
      <c r="I444" s="3"/>
    </row>
    <row r="445">
      <c r="I445" s="3"/>
    </row>
    <row r="446">
      <c r="I446" s="3"/>
    </row>
    <row r="447">
      <c r="I447" s="3"/>
    </row>
    <row r="448">
      <c r="I448" s="3"/>
    </row>
    <row r="449">
      <c r="I449" s="3"/>
    </row>
    <row r="450">
      <c r="I450" s="3"/>
    </row>
    <row r="451">
      <c r="I451" s="3"/>
    </row>
    <row r="452">
      <c r="I452" s="3"/>
    </row>
    <row r="453">
      <c r="I453" s="3"/>
    </row>
    <row r="454">
      <c r="I454" s="3"/>
    </row>
    <row r="455">
      <c r="I455" s="3"/>
    </row>
    <row r="456">
      <c r="I456" s="3"/>
    </row>
    <row r="457">
      <c r="I457" s="3"/>
    </row>
    <row r="458">
      <c r="I458" s="3"/>
    </row>
    <row r="459">
      <c r="I459" s="3"/>
    </row>
    <row r="460">
      <c r="I460" s="3"/>
    </row>
    <row r="461">
      <c r="I461" s="3"/>
    </row>
    <row r="462">
      <c r="I462" s="3"/>
    </row>
    <row r="463">
      <c r="I463" s="3"/>
    </row>
    <row r="464">
      <c r="I464" s="3"/>
    </row>
    <row r="465">
      <c r="I465" s="3"/>
    </row>
    <row r="466">
      <c r="I466" s="3"/>
    </row>
    <row r="467">
      <c r="I467" s="3"/>
    </row>
    <row r="468">
      <c r="I468" s="3"/>
    </row>
    <row r="469">
      <c r="I469" s="3"/>
    </row>
    <row r="470">
      <c r="I470" s="3"/>
    </row>
    <row r="471">
      <c r="I471" s="3"/>
    </row>
    <row r="472">
      <c r="I472" s="3"/>
    </row>
    <row r="473">
      <c r="I473" s="3"/>
    </row>
    <row r="474">
      <c r="I474" s="3"/>
    </row>
    <row r="475">
      <c r="I475" s="3"/>
    </row>
    <row r="476">
      <c r="I476" s="3"/>
    </row>
    <row r="477">
      <c r="I477" s="3"/>
    </row>
    <row r="478">
      <c r="I478" s="3"/>
    </row>
    <row r="479">
      <c r="I479" s="3"/>
    </row>
    <row r="480">
      <c r="I480" s="3"/>
    </row>
    <row r="481">
      <c r="I481" s="3"/>
    </row>
    <row r="482">
      <c r="I482" s="3"/>
    </row>
    <row r="483">
      <c r="I483" s="3"/>
    </row>
    <row r="484">
      <c r="I484" s="3"/>
    </row>
    <row r="485">
      <c r="I485" s="3"/>
    </row>
    <row r="486">
      <c r="I486" s="3"/>
    </row>
    <row r="487">
      <c r="I487" s="3"/>
    </row>
    <row r="488">
      <c r="I488" s="3"/>
    </row>
    <row r="489">
      <c r="I489" s="3"/>
    </row>
    <row r="490">
      <c r="I490" s="3"/>
    </row>
    <row r="491">
      <c r="I491" s="3"/>
    </row>
    <row r="492">
      <c r="I492" s="3"/>
    </row>
    <row r="493">
      <c r="I493" s="3"/>
    </row>
    <row r="494">
      <c r="I494" s="3"/>
    </row>
    <row r="495">
      <c r="I495" s="3"/>
    </row>
    <row r="496">
      <c r="I496" s="3"/>
    </row>
    <row r="497">
      <c r="I497" s="3"/>
    </row>
    <row r="498">
      <c r="I498" s="3"/>
    </row>
    <row r="499">
      <c r="I499" s="3"/>
    </row>
    <row r="500">
      <c r="I500" s="3"/>
    </row>
    <row r="501">
      <c r="I501" s="3"/>
    </row>
    <row r="502">
      <c r="I502" s="3"/>
    </row>
    <row r="503">
      <c r="I503" s="3"/>
    </row>
    <row r="504">
      <c r="I504" s="3"/>
    </row>
    <row r="505">
      <c r="I505" s="3"/>
    </row>
    <row r="506">
      <c r="I506" s="3"/>
    </row>
    <row r="507">
      <c r="I507" s="3"/>
    </row>
    <row r="508">
      <c r="I508" s="3"/>
    </row>
    <row r="509">
      <c r="I509" s="3"/>
    </row>
    <row r="510">
      <c r="I510" s="3"/>
    </row>
    <row r="511">
      <c r="I511" s="3"/>
    </row>
    <row r="512">
      <c r="I512" s="3"/>
    </row>
    <row r="513">
      <c r="I513" s="3"/>
    </row>
    <row r="514">
      <c r="I514" s="3"/>
    </row>
    <row r="515">
      <c r="I515" s="3"/>
    </row>
    <row r="516">
      <c r="I516" s="3"/>
    </row>
    <row r="517">
      <c r="I517" s="3"/>
    </row>
    <row r="518">
      <c r="I518" s="3"/>
    </row>
    <row r="519">
      <c r="I519" s="3"/>
    </row>
    <row r="520">
      <c r="I520" s="3"/>
    </row>
    <row r="521">
      <c r="I521" s="3"/>
    </row>
    <row r="522">
      <c r="I522" s="3"/>
    </row>
    <row r="523">
      <c r="I523" s="3"/>
    </row>
    <row r="524">
      <c r="I524" s="3"/>
    </row>
    <row r="525">
      <c r="I525" s="3"/>
    </row>
    <row r="526">
      <c r="I526" s="3"/>
    </row>
    <row r="527">
      <c r="I527" s="3"/>
    </row>
    <row r="528">
      <c r="I528" s="3"/>
    </row>
    <row r="529">
      <c r="I529" s="3"/>
    </row>
    <row r="530">
      <c r="I530" s="3"/>
    </row>
    <row r="531">
      <c r="I531" s="3"/>
    </row>
    <row r="532">
      <c r="I532" s="3"/>
    </row>
    <row r="533">
      <c r="I533" s="3"/>
    </row>
    <row r="534">
      <c r="I534" s="3"/>
    </row>
    <row r="535">
      <c r="I535" s="3"/>
    </row>
    <row r="536">
      <c r="I536" s="3"/>
    </row>
    <row r="537">
      <c r="I537" s="3"/>
    </row>
    <row r="538">
      <c r="I538" s="3"/>
    </row>
    <row r="539">
      <c r="I539" s="3"/>
    </row>
    <row r="540">
      <c r="I540" s="3"/>
    </row>
    <row r="541">
      <c r="I541" s="3"/>
    </row>
    <row r="542">
      <c r="I542" s="3"/>
    </row>
    <row r="543">
      <c r="I543" s="3"/>
    </row>
    <row r="544">
      <c r="I544" s="3"/>
    </row>
    <row r="545">
      <c r="I545" s="3"/>
    </row>
    <row r="546">
      <c r="I546" s="3"/>
    </row>
    <row r="547">
      <c r="I547" s="3"/>
    </row>
    <row r="548">
      <c r="I548" s="3"/>
    </row>
    <row r="549">
      <c r="I549" s="3"/>
    </row>
    <row r="550">
      <c r="I550" s="3"/>
    </row>
    <row r="551">
      <c r="I551" s="3"/>
    </row>
    <row r="552">
      <c r="I552" s="3"/>
    </row>
    <row r="553">
      <c r="I553" s="3"/>
    </row>
    <row r="554">
      <c r="I554" s="3"/>
    </row>
    <row r="555">
      <c r="I555" s="3"/>
    </row>
    <row r="556">
      <c r="I556" s="3"/>
    </row>
    <row r="557">
      <c r="I557" s="3"/>
    </row>
    <row r="558">
      <c r="I558" s="3"/>
    </row>
    <row r="559">
      <c r="I559" s="3"/>
    </row>
    <row r="560">
      <c r="I560" s="3"/>
    </row>
    <row r="561">
      <c r="I561" s="3"/>
    </row>
    <row r="562">
      <c r="I562" s="3"/>
    </row>
    <row r="563">
      <c r="I563" s="3"/>
    </row>
    <row r="564">
      <c r="I564" s="3"/>
    </row>
    <row r="565">
      <c r="I565" s="3"/>
    </row>
    <row r="566">
      <c r="I566" s="3"/>
    </row>
    <row r="567">
      <c r="I567" s="3"/>
    </row>
    <row r="568">
      <c r="I568" s="3"/>
    </row>
    <row r="569">
      <c r="I569" s="3"/>
    </row>
    <row r="570">
      <c r="I570" s="3"/>
    </row>
    <row r="571">
      <c r="I571" s="3"/>
    </row>
    <row r="572">
      <c r="I572" s="3"/>
    </row>
    <row r="573">
      <c r="I573" s="3"/>
    </row>
    <row r="574">
      <c r="I574" s="3"/>
    </row>
    <row r="575">
      <c r="I575" s="3"/>
    </row>
    <row r="576">
      <c r="I576" s="3"/>
    </row>
    <row r="577">
      <c r="I577" s="3"/>
    </row>
    <row r="578">
      <c r="I578" s="3"/>
    </row>
    <row r="579">
      <c r="I579" s="3"/>
    </row>
    <row r="580">
      <c r="I580" s="3"/>
    </row>
    <row r="581">
      <c r="I581" s="3"/>
    </row>
    <row r="582">
      <c r="I582" s="3"/>
    </row>
    <row r="583">
      <c r="I583" s="3"/>
    </row>
    <row r="584">
      <c r="I584" s="3"/>
    </row>
    <row r="585">
      <c r="I585" s="3"/>
    </row>
    <row r="586">
      <c r="I586" s="3"/>
    </row>
    <row r="587">
      <c r="I587" s="3"/>
    </row>
    <row r="588">
      <c r="I588" s="3"/>
    </row>
    <row r="589">
      <c r="I589" s="3"/>
    </row>
    <row r="590">
      <c r="I590" s="3"/>
    </row>
    <row r="591">
      <c r="I591" s="3"/>
    </row>
    <row r="592">
      <c r="I592" s="3"/>
    </row>
    <row r="593">
      <c r="I593" s="3"/>
    </row>
    <row r="594">
      <c r="I594" s="3"/>
    </row>
    <row r="595">
      <c r="I595" s="3"/>
    </row>
    <row r="596">
      <c r="I596" s="3"/>
    </row>
    <row r="597">
      <c r="I597" s="3"/>
    </row>
    <row r="598">
      <c r="I598" s="3"/>
    </row>
    <row r="599">
      <c r="I599" s="3"/>
    </row>
    <row r="600">
      <c r="I600" s="3"/>
    </row>
    <row r="601">
      <c r="I601" s="3"/>
    </row>
    <row r="602">
      <c r="I602" s="3"/>
    </row>
    <row r="603">
      <c r="I603" s="3"/>
    </row>
    <row r="604">
      <c r="I604" s="3"/>
    </row>
    <row r="605">
      <c r="I605" s="3"/>
    </row>
    <row r="606">
      <c r="I606" s="3"/>
    </row>
    <row r="607">
      <c r="I607" s="3"/>
    </row>
    <row r="608">
      <c r="I608" s="3"/>
    </row>
    <row r="609">
      <c r="I609" s="3"/>
    </row>
    <row r="610">
      <c r="I610" s="3"/>
    </row>
    <row r="611">
      <c r="I611" s="3"/>
    </row>
    <row r="612">
      <c r="I612" s="3"/>
    </row>
    <row r="613">
      <c r="I613" s="3"/>
    </row>
    <row r="614">
      <c r="I614" s="3"/>
    </row>
    <row r="615">
      <c r="I615" s="3"/>
    </row>
    <row r="616">
      <c r="I616" s="3"/>
    </row>
    <row r="617">
      <c r="I617" s="3"/>
    </row>
    <row r="618">
      <c r="I618" s="3"/>
    </row>
    <row r="619">
      <c r="I619" s="3"/>
    </row>
    <row r="620">
      <c r="I620" s="3"/>
    </row>
    <row r="621">
      <c r="I621" s="3"/>
    </row>
    <row r="622">
      <c r="I622" s="3"/>
    </row>
    <row r="623">
      <c r="I623" s="3"/>
    </row>
    <row r="624">
      <c r="I624" s="3"/>
    </row>
    <row r="625">
      <c r="I625" s="3"/>
    </row>
    <row r="626">
      <c r="I626" s="3"/>
    </row>
    <row r="627">
      <c r="I627" s="3"/>
    </row>
    <row r="628">
      <c r="I628" s="3"/>
    </row>
    <row r="629">
      <c r="I629" s="3"/>
    </row>
    <row r="630">
      <c r="I630" s="3"/>
    </row>
    <row r="631">
      <c r="I631" s="3"/>
    </row>
    <row r="632">
      <c r="I632" s="3"/>
    </row>
    <row r="633">
      <c r="I633" s="3"/>
    </row>
    <row r="634">
      <c r="I634" s="3"/>
    </row>
    <row r="635">
      <c r="I635" s="3"/>
    </row>
    <row r="636">
      <c r="I636" s="3"/>
    </row>
    <row r="637">
      <c r="I637" s="3"/>
    </row>
    <row r="638">
      <c r="I638" s="3"/>
    </row>
    <row r="639">
      <c r="I639" s="3"/>
    </row>
    <row r="640">
      <c r="I640" s="3"/>
    </row>
    <row r="641">
      <c r="I641" s="3"/>
    </row>
    <row r="642">
      <c r="I642" s="3"/>
    </row>
    <row r="643">
      <c r="I643" s="3"/>
    </row>
    <row r="644">
      <c r="I644" s="3"/>
    </row>
    <row r="645">
      <c r="I645" s="3"/>
    </row>
    <row r="646">
      <c r="I646" s="3"/>
    </row>
    <row r="647">
      <c r="I647" s="3"/>
    </row>
    <row r="648">
      <c r="I648" s="3"/>
    </row>
    <row r="649">
      <c r="I649" s="3"/>
    </row>
    <row r="650">
      <c r="I650" s="3"/>
    </row>
    <row r="651">
      <c r="I651" s="3"/>
    </row>
    <row r="652">
      <c r="I652" s="3"/>
    </row>
    <row r="653">
      <c r="I653" s="3"/>
    </row>
    <row r="654">
      <c r="I654" s="3"/>
    </row>
    <row r="655">
      <c r="I655" s="3"/>
    </row>
    <row r="656">
      <c r="I656" s="3"/>
    </row>
    <row r="657">
      <c r="I657" s="3"/>
    </row>
    <row r="658">
      <c r="I658" s="3"/>
    </row>
    <row r="659">
      <c r="I659" s="3"/>
    </row>
    <row r="660">
      <c r="I660" s="3"/>
    </row>
    <row r="661">
      <c r="I661" s="3"/>
    </row>
    <row r="662">
      <c r="I662" s="3"/>
    </row>
    <row r="663">
      <c r="I663" s="3"/>
    </row>
    <row r="664">
      <c r="I664" s="3"/>
    </row>
    <row r="665">
      <c r="I665" s="3"/>
    </row>
    <row r="666">
      <c r="I666" s="3"/>
    </row>
    <row r="667">
      <c r="I667" s="3"/>
    </row>
    <row r="668">
      <c r="I668" s="3"/>
    </row>
    <row r="669">
      <c r="I669" s="3"/>
    </row>
    <row r="670">
      <c r="I670" s="3"/>
    </row>
    <row r="671">
      <c r="I671" s="3"/>
    </row>
    <row r="672">
      <c r="I672" s="3"/>
    </row>
    <row r="673">
      <c r="I673" s="3"/>
    </row>
    <row r="674">
      <c r="I674" s="3"/>
    </row>
    <row r="675">
      <c r="I675" s="3"/>
    </row>
    <row r="676">
      <c r="I676" s="3"/>
    </row>
    <row r="677">
      <c r="I677" s="3"/>
    </row>
    <row r="678">
      <c r="I678" s="3"/>
    </row>
    <row r="679">
      <c r="I679" s="3"/>
    </row>
    <row r="680">
      <c r="I680" s="3"/>
    </row>
    <row r="681">
      <c r="I681" s="3"/>
    </row>
    <row r="682">
      <c r="I682" s="3"/>
    </row>
    <row r="683">
      <c r="I683" s="3"/>
    </row>
    <row r="684">
      <c r="I684" s="3"/>
    </row>
    <row r="685">
      <c r="I685" s="3"/>
    </row>
    <row r="686">
      <c r="I686" s="3"/>
    </row>
    <row r="687">
      <c r="I687" s="3"/>
    </row>
    <row r="688">
      <c r="I688" s="3"/>
    </row>
    <row r="689">
      <c r="I689" s="3"/>
    </row>
    <row r="690">
      <c r="I690" s="3"/>
    </row>
    <row r="691">
      <c r="I691" s="3"/>
    </row>
    <row r="692">
      <c r="I692" s="3"/>
    </row>
    <row r="693">
      <c r="I693" s="3"/>
    </row>
    <row r="694">
      <c r="I694" s="3"/>
    </row>
    <row r="695">
      <c r="I695" s="3"/>
    </row>
    <row r="696">
      <c r="I696" s="3"/>
    </row>
    <row r="697">
      <c r="I697" s="3"/>
    </row>
    <row r="698">
      <c r="I698" s="3"/>
    </row>
    <row r="699">
      <c r="I699" s="3"/>
    </row>
    <row r="700">
      <c r="I700" s="3"/>
    </row>
    <row r="701">
      <c r="I701" s="3"/>
    </row>
    <row r="702">
      <c r="I702" s="3"/>
    </row>
    <row r="703">
      <c r="I703" s="3"/>
    </row>
    <row r="704">
      <c r="I704" s="3"/>
    </row>
    <row r="705">
      <c r="I705" s="3"/>
    </row>
    <row r="706">
      <c r="I706" s="3"/>
    </row>
    <row r="707">
      <c r="I707" s="3"/>
    </row>
    <row r="708">
      <c r="I708" s="3"/>
    </row>
    <row r="709">
      <c r="I709" s="3"/>
    </row>
    <row r="710">
      <c r="I710" s="3"/>
    </row>
    <row r="711">
      <c r="I711" s="3"/>
    </row>
    <row r="712">
      <c r="I712" s="3"/>
    </row>
    <row r="713">
      <c r="I713" s="3"/>
    </row>
    <row r="714">
      <c r="I714" s="3"/>
    </row>
    <row r="715">
      <c r="I715" s="3"/>
    </row>
    <row r="716">
      <c r="I716" s="3"/>
    </row>
    <row r="717">
      <c r="I717" s="3"/>
    </row>
    <row r="718">
      <c r="I718" s="3"/>
    </row>
    <row r="719">
      <c r="I719" s="3"/>
    </row>
    <row r="720">
      <c r="I720" s="3"/>
    </row>
    <row r="721">
      <c r="I721" s="3"/>
    </row>
    <row r="722">
      <c r="I722" s="3"/>
    </row>
    <row r="723">
      <c r="I723" s="3"/>
    </row>
    <row r="724">
      <c r="I724" s="3"/>
    </row>
    <row r="725">
      <c r="I725" s="3"/>
    </row>
    <row r="726">
      <c r="I726" s="3"/>
    </row>
    <row r="727">
      <c r="I727" s="3"/>
    </row>
    <row r="728">
      <c r="I728" s="3"/>
    </row>
    <row r="729">
      <c r="I729" s="3"/>
    </row>
    <row r="730">
      <c r="I730" s="3"/>
    </row>
    <row r="731">
      <c r="I731" s="3"/>
    </row>
    <row r="732">
      <c r="I732" s="3"/>
    </row>
    <row r="733">
      <c r="I733" s="3"/>
    </row>
    <row r="734">
      <c r="I734" s="3"/>
    </row>
    <row r="735">
      <c r="I735" s="3"/>
    </row>
    <row r="736">
      <c r="I736" s="3"/>
    </row>
    <row r="737">
      <c r="I737" s="3"/>
    </row>
    <row r="738">
      <c r="I738" s="3"/>
    </row>
    <row r="739">
      <c r="I739" s="3"/>
    </row>
    <row r="740">
      <c r="I740" s="3"/>
    </row>
    <row r="741">
      <c r="I741" s="3"/>
    </row>
    <row r="742">
      <c r="I742" s="3"/>
    </row>
    <row r="743">
      <c r="I743" s="3"/>
    </row>
    <row r="744">
      <c r="I744" s="3"/>
    </row>
    <row r="745">
      <c r="I745" s="3"/>
    </row>
    <row r="746">
      <c r="I746" s="3"/>
    </row>
    <row r="747">
      <c r="I747" s="3"/>
    </row>
    <row r="748">
      <c r="I748" s="3"/>
    </row>
    <row r="749">
      <c r="I749" s="3"/>
    </row>
    <row r="750">
      <c r="I750" s="3"/>
    </row>
    <row r="751">
      <c r="I751" s="3"/>
    </row>
    <row r="752">
      <c r="I752" s="3"/>
    </row>
    <row r="753">
      <c r="I753" s="3"/>
    </row>
    <row r="754">
      <c r="I754" s="3"/>
    </row>
    <row r="755">
      <c r="I755" s="3"/>
    </row>
    <row r="756">
      <c r="I756" s="3"/>
    </row>
    <row r="757">
      <c r="I757" s="3"/>
    </row>
    <row r="758">
      <c r="I758" s="3"/>
    </row>
    <row r="759">
      <c r="I759" s="3"/>
    </row>
    <row r="760">
      <c r="I760" s="3"/>
    </row>
    <row r="761">
      <c r="I761" s="3"/>
    </row>
    <row r="762">
      <c r="I762" s="3"/>
    </row>
    <row r="763">
      <c r="I763" s="3"/>
    </row>
    <row r="764">
      <c r="I764" s="3"/>
    </row>
    <row r="765">
      <c r="I765" s="3"/>
    </row>
    <row r="766">
      <c r="I766" s="3"/>
    </row>
    <row r="767">
      <c r="I767" s="3"/>
    </row>
    <row r="768">
      <c r="I768" s="3"/>
    </row>
    <row r="769">
      <c r="I769" s="3"/>
    </row>
    <row r="770">
      <c r="I770" s="3"/>
    </row>
    <row r="771">
      <c r="I771" s="3"/>
    </row>
    <row r="772">
      <c r="I772" s="3"/>
    </row>
    <row r="773">
      <c r="I773" s="3"/>
    </row>
    <row r="774">
      <c r="I774" s="3"/>
    </row>
    <row r="775">
      <c r="I775" s="3"/>
    </row>
    <row r="776">
      <c r="I776" s="3"/>
    </row>
    <row r="777">
      <c r="I777" s="3"/>
    </row>
    <row r="778">
      <c r="I778" s="3"/>
    </row>
    <row r="779">
      <c r="I779" s="3"/>
    </row>
    <row r="780">
      <c r="I780" s="3"/>
    </row>
    <row r="781">
      <c r="I781" s="3"/>
    </row>
    <row r="782">
      <c r="I782" s="3"/>
    </row>
    <row r="783">
      <c r="I783" s="3"/>
    </row>
    <row r="784">
      <c r="I784" s="3"/>
    </row>
    <row r="785">
      <c r="I785" s="3"/>
    </row>
    <row r="786">
      <c r="I786" s="3"/>
    </row>
    <row r="787">
      <c r="I787" s="3"/>
    </row>
    <row r="788">
      <c r="I788" s="3"/>
    </row>
    <row r="789">
      <c r="I789" s="3"/>
    </row>
    <row r="790">
      <c r="I790" s="3"/>
    </row>
    <row r="791">
      <c r="I791" s="3"/>
    </row>
    <row r="792">
      <c r="I792" s="3"/>
    </row>
    <row r="793">
      <c r="I793" s="3"/>
    </row>
    <row r="794">
      <c r="I794" s="3"/>
    </row>
    <row r="795">
      <c r="I795" s="3"/>
    </row>
    <row r="796">
      <c r="I796" s="3"/>
    </row>
    <row r="797">
      <c r="I797" s="3"/>
    </row>
    <row r="798">
      <c r="I798" s="3"/>
    </row>
    <row r="799">
      <c r="I799" s="3"/>
    </row>
    <row r="800">
      <c r="I800" s="3"/>
    </row>
    <row r="801">
      <c r="I801" s="3"/>
    </row>
    <row r="802">
      <c r="I802" s="3"/>
    </row>
    <row r="803">
      <c r="I803" s="3"/>
    </row>
    <row r="804">
      <c r="I804" s="3"/>
    </row>
    <row r="805">
      <c r="I805" s="3"/>
    </row>
    <row r="806">
      <c r="I806" s="3"/>
    </row>
    <row r="807">
      <c r="I807" s="3"/>
    </row>
    <row r="808">
      <c r="I808" s="3"/>
    </row>
    <row r="809">
      <c r="I809" s="3"/>
    </row>
    <row r="810">
      <c r="I810" s="3"/>
    </row>
    <row r="811">
      <c r="I811" s="3"/>
    </row>
    <row r="812">
      <c r="I812" s="3"/>
    </row>
    <row r="813">
      <c r="I813" s="3"/>
    </row>
    <row r="814">
      <c r="I814" s="3"/>
    </row>
    <row r="815">
      <c r="I815" s="3"/>
    </row>
    <row r="816">
      <c r="I816" s="3"/>
    </row>
    <row r="817">
      <c r="I817" s="3"/>
    </row>
    <row r="818">
      <c r="I818" s="3"/>
    </row>
    <row r="819">
      <c r="I819" s="3"/>
    </row>
    <row r="820">
      <c r="I820" s="3"/>
    </row>
    <row r="821">
      <c r="I821" s="3"/>
    </row>
    <row r="822">
      <c r="I822" s="3"/>
    </row>
    <row r="823">
      <c r="I823" s="3"/>
    </row>
    <row r="824">
      <c r="I824" s="3"/>
    </row>
    <row r="825">
      <c r="I825" s="3"/>
    </row>
    <row r="826">
      <c r="I826" s="3"/>
    </row>
    <row r="827">
      <c r="I827" s="3"/>
    </row>
    <row r="828">
      <c r="I828" s="3"/>
    </row>
    <row r="829">
      <c r="I829" s="3"/>
    </row>
    <row r="830">
      <c r="I830" s="3"/>
    </row>
    <row r="831">
      <c r="I831" s="3"/>
    </row>
    <row r="832">
      <c r="I832" s="3"/>
    </row>
    <row r="833">
      <c r="I833" s="3"/>
    </row>
    <row r="834">
      <c r="I834" s="3"/>
    </row>
    <row r="835">
      <c r="I835" s="3"/>
    </row>
    <row r="836">
      <c r="I836" s="3"/>
    </row>
    <row r="837">
      <c r="I837" s="3"/>
    </row>
    <row r="838">
      <c r="I838" s="3"/>
    </row>
    <row r="839">
      <c r="I839" s="3"/>
    </row>
    <row r="840">
      <c r="I840" s="3"/>
    </row>
    <row r="841">
      <c r="I841" s="3"/>
    </row>
    <row r="842">
      <c r="I842" s="3"/>
    </row>
    <row r="843">
      <c r="I843" s="3"/>
    </row>
    <row r="844">
      <c r="I844" s="3"/>
    </row>
    <row r="845">
      <c r="I845" s="3"/>
    </row>
    <row r="846">
      <c r="I846" s="3"/>
    </row>
    <row r="847">
      <c r="I847" s="3"/>
    </row>
    <row r="848">
      <c r="I848" s="3"/>
    </row>
    <row r="849">
      <c r="I849" s="3"/>
    </row>
    <row r="850">
      <c r="I850" s="3"/>
    </row>
    <row r="851">
      <c r="I851" s="3"/>
    </row>
    <row r="852">
      <c r="I852" s="3"/>
    </row>
    <row r="853">
      <c r="I853" s="3"/>
    </row>
    <row r="854">
      <c r="I854" s="3"/>
    </row>
    <row r="855">
      <c r="I855" s="3"/>
    </row>
    <row r="856">
      <c r="I856" s="3"/>
    </row>
    <row r="857">
      <c r="I857" s="3"/>
    </row>
    <row r="858">
      <c r="I858" s="3"/>
    </row>
    <row r="859">
      <c r="I859" s="3"/>
    </row>
    <row r="860">
      <c r="I860" s="3"/>
    </row>
    <row r="861">
      <c r="I861" s="3"/>
    </row>
    <row r="862">
      <c r="I862" s="3"/>
    </row>
    <row r="863">
      <c r="I863" s="3"/>
    </row>
    <row r="864">
      <c r="I864" s="3"/>
    </row>
    <row r="865">
      <c r="I865" s="3"/>
    </row>
    <row r="866">
      <c r="I866" s="3"/>
    </row>
    <row r="867">
      <c r="I867" s="3"/>
    </row>
    <row r="868">
      <c r="I868" s="3"/>
    </row>
    <row r="869">
      <c r="I869" s="3"/>
    </row>
    <row r="870">
      <c r="I870" s="3"/>
    </row>
    <row r="871">
      <c r="I871" s="3"/>
    </row>
    <row r="872">
      <c r="I872" s="3"/>
    </row>
    <row r="873">
      <c r="I873" s="3"/>
    </row>
    <row r="874">
      <c r="I874" s="3"/>
    </row>
    <row r="875">
      <c r="I875" s="3"/>
    </row>
    <row r="876">
      <c r="I876" s="3"/>
    </row>
    <row r="877">
      <c r="I877" s="3"/>
    </row>
    <row r="878">
      <c r="I878" s="3"/>
    </row>
    <row r="879">
      <c r="I879" s="3"/>
    </row>
    <row r="880">
      <c r="I880" s="3"/>
    </row>
    <row r="881">
      <c r="I881" s="3"/>
    </row>
    <row r="882">
      <c r="I882" s="3"/>
    </row>
    <row r="883">
      <c r="I883" s="3"/>
    </row>
    <row r="884">
      <c r="I884" s="3"/>
    </row>
    <row r="885">
      <c r="I885" s="3"/>
    </row>
    <row r="886">
      <c r="I886" s="3"/>
    </row>
    <row r="887">
      <c r="I887" s="3"/>
    </row>
    <row r="888">
      <c r="I888" s="3"/>
    </row>
    <row r="889">
      <c r="I889" s="3"/>
    </row>
    <row r="890">
      <c r="I890" s="3"/>
    </row>
    <row r="891">
      <c r="I891" s="3"/>
    </row>
    <row r="892">
      <c r="I892" s="3"/>
    </row>
    <row r="893">
      <c r="I893" s="3"/>
    </row>
    <row r="894">
      <c r="I894" s="3"/>
    </row>
    <row r="895">
      <c r="I895" s="3"/>
    </row>
    <row r="896">
      <c r="I896" s="3"/>
    </row>
    <row r="897">
      <c r="I897" s="3"/>
    </row>
    <row r="898">
      <c r="I898" s="3"/>
    </row>
    <row r="899">
      <c r="I899" s="3"/>
    </row>
    <row r="900">
      <c r="I900" s="3"/>
    </row>
    <row r="901">
      <c r="I901" s="3"/>
    </row>
    <row r="902">
      <c r="I902" s="3"/>
    </row>
    <row r="903">
      <c r="I903" s="3"/>
    </row>
    <row r="904">
      <c r="I904" s="3"/>
    </row>
    <row r="905">
      <c r="I905" s="3"/>
    </row>
    <row r="906">
      <c r="I906" s="3"/>
    </row>
    <row r="907">
      <c r="I907" s="3"/>
    </row>
    <row r="908">
      <c r="I908" s="3"/>
    </row>
    <row r="909">
      <c r="I909" s="3"/>
    </row>
    <row r="910">
      <c r="I910" s="3"/>
    </row>
    <row r="911">
      <c r="I911" s="3"/>
    </row>
    <row r="912">
      <c r="I912" s="3"/>
    </row>
    <row r="913">
      <c r="I913" s="3"/>
    </row>
    <row r="914">
      <c r="I914" s="3"/>
    </row>
    <row r="915">
      <c r="I915" s="3"/>
    </row>
    <row r="916">
      <c r="I916" s="3"/>
    </row>
    <row r="917">
      <c r="I917" s="3"/>
    </row>
    <row r="918">
      <c r="I918" s="3"/>
    </row>
    <row r="919">
      <c r="I919" s="3"/>
    </row>
    <row r="920">
      <c r="I920" s="3"/>
    </row>
    <row r="921">
      <c r="I921" s="3"/>
    </row>
    <row r="922">
      <c r="I922" s="3"/>
    </row>
    <row r="923">
      <c r="I923" s="3"/>
    </row>
    <row r="924">
      <c r="I924" s="3"/>
    </row>
    <row r="925">
      <c r="I925" s="3"/>
    </row>
    <row r="926">
      <c r="I926" s="3"/>
    </row>
    <row r="927">
      <c r="I927" s="3"/>
    </row>
    <row r="928">
      <c r="I928" s="3"/>
    </row>
    <row r="929">
      <c r="I929" s="3"/>
    </row>
    <row r="930">
      <c r="I930" s="3"/>
    </row>
    <row r="931">
      <c r="I931" s="3"/>
    </row>
    <row r="932">
      <c r="I932" s="3"/>
    </row>
    <row r="933">
      <c r="I933" s="3"/>
    </row>
    <row r="934">
      <c r="I934" s="3"/>
    </row>
    <row r="935">
      <c r="I935" s="3"/>
    </row>
    <row r="936">
      <c r="I936" s="3"/>
    </row>
    <row r="937">
      <c r="I937" s="3"/>
    </row>
    <row r="938">
      <c r="I938" s="3"/>
    </row>
    <row r="939">
      <c r="I939" s="3"/>
    </row>
    <row r="940">
      <c r="I940" s="3"/>
    </row>
    <row r="941">
      <c r="I941" s="3"/>
    </row>
    <row r="942">
      <c r="I942" s="3"/>
    </row>
    <row r="943">
      <c r="I943" s="3"/>
    </row>
    <row r="944">
      <c r="I944" s="3"/>
    </row>
    <row r="945">
      <c r="I945" s="3"/>
    </row>
    <row r="946">
      <c r="I946" s="3"/>
    </row>
    <row r="947">
      <c r="I947" s="3"/>
    </row>
    <row r="948">
      <c r="I948" s="3"/>
    </row>
    <row r="949">
      <c r="I949" s="3"/>
    </row>
    <row r="950">
      <c r="I950" s="3"/>
    </row>
    <row r="951">
      <c r="I951" s="3"/>
    </row>
    <row r="952">
      <c r="I952" s="3"/>
    </row>
    <row r="953">
      <c r="I953" s="3"/>
    </row>
    <row r="954">
      <c r="I954" s="3"/>
    </row>
    <row r="955">
      <c r="I955" s="3"/>
    </row>
    <row r="956">
      <c r="I956" s="3"/>
    </row>
    <row r="957">
      <c r="I957" s="3"/>
    </row>
    <row r="958">
      <c r="I958" s="3"/>
    </row>
    <row r="959">
      <c r="I959" s="3"/>
    </row>
    <row r="960">
      <c r="I960" s="3"/>
    </row>
    <row r="961">
      <c r="I961" s="3"/>
    </row>
    <row r="962">
      <c r="I962" s="3"/>
    </row>
    <row r="963">
      <c r="I963" s="3"/>
    </row>
    <row r="964">
      <c r="I964" s="3"/>
    </row>
    <row r="965">
      <c r="I965" s="3"/>
    </row>
    <row r="966">
      <c r="I966" s="3"/>
    </row>
    <row r="967">
      <c r="I967" s="3"/>
    </row>
    <row r="968">
      <c r="I968" s="3"/>
    </row>
    <row r="969">
      <c r="I969" s="3"/>
    </row>
    <row r="970">
      <c r="I970" s="3"/>
    </row>
    <row r="971">
      <c r="I971" s="3"/>
    </row>
    <row r="972">
      <c r="I972" s="3"/>
    </row>
    <row r="973">
      <c r="I973" s="3"/>
    </row>
    <row r="974">
      <c r="I974" s="3"/>
    </row>
    <row r="975">
      <c r="I975" s="3"/>
    </row>
    <row r="976">
      <c r="I976" s="3"/>
    </row>
    <row r="977">
      <c r="I977" s="3"/>
    </row>
    <row r="978">
      <c r="I978" s="3"/>
    </row>
    <row r="979">
      <c r="I979" s="3"/>
    </row>
    <row r="980">
      <c r="I980" s="3"/>
    </row>
    <row r="981">
      <c r="I981" s="3"/>
    </row>
    <row r="982">
      <c r="I982" s="3"/>
    </row>
    <row r="983">
      <c r="I983" s="3"/>
    </row>
    <row r="984">
      <c r="I984" s="3"/>
    </row>
    <row r="985">
      <c r="I985" s="3"/>
    </row>
    <row r="986">
      <c r="I986" s="3"/>
    </row>
    <row r="987">
      <c r="I987" s="3"/>
    </row>
    <row r="988">
      <c r="I988" s="3"/>
    </row>
    <row r="989">
      <c r="I989" s="3"/>
    </row>
    <row r="990">
      <c r="I990" s="3"/>
    </row>
    <row r="991">
      <c r="I991" s="3"/>
    </row>
    <row r="992">
      <c r="I992" s="3"/>
    </row>
    <row r="993">
      <c r="I993" s="3"/>
    </row>
    <row r="994">
      <c r="I994" s="3"/>
    </row>
    <row r="995">
      <c r="I995" s="3"/>
    </row>
    <row r="996">
      <c r="I996" s="3"/>
    </row>
    <row r="997">
      <c r="I997" s="3"/>
    </row>
    <row r="998">
      <c r="I998" s="3"/>
    </row>
    <row r="999">
      <c r="I999" s="3"/>
    </row>
    <row r="1000">
      <c r="I1000" s="3"/>
    </row>
  </sheetData>
  <hyperlinks>
    <hyperlink r:id="rId1" ref="A9"/>
    <hyperlink r:id="rId2" ref="A16"/>
    <hyperlink r:id="rId3" ref="A23"/>
    <hyperlink r:id="rId4" ref="A30"/>
    <hyperlink r:id="rId5" ref="A37"/>
    <hyperlink r:id="rId6" ref="A44"/>
    <hyperlink r:id="rId7" ref="A51"/>
    <hyperlink r:id="rId8" ref="A58"/>
    <hyperlink r:id="rId9" ref="A65"/>
    <hyperlink r:id="rId10" ref="A72"/>
    <hyperlink r:id="rId11" ref="A79"/>
    <hyperlink r:id="rId12" ref="A86"/>
    <hyperlink r:id="rId13" ref="A93"/>
    <hyperlink r:id="rId14" ref="A100"/>
    <hyperlink r:id="rId15" ref="A107"/>
    <hyperlink r:id="rId16" ref="A114"/>
    <hyperlink r:id="rId17" ref="A121"/>
    <hyperlink r:id="rId18" ref="A128"/>
    <hyperlink r:id="rId19" ref="A135"/>
    <hyperlink r:id="rId20" ref="A142"/>
    <hyperlink r:id="rId21" ref="A149"/>
    <hyperlink r:id="rId22" ref="A156"/>
    <hyperlink r:id="rId23" ref="A163"/>
    <hyperlink r:id="rId24" ref="A170"/>
    <hyperlink r:id="rId25" ref="A177"/>
    <hyperlink r:id="rId26" ref="A184"/>
    <hyperlink r:id="rId27" ref="A191"/>
    <hyperlink r:id="rId28" ref="A198"/>
    <hyperlink r:id="rId29" ref="A205"/>
    <hyperlink r:id="rId30" ref="A212"/>
    <hyperlink r:id="rId31" ref="A219"/>
    <hyperlink r:id="rId32" ref="A226"/>
    <hyperlink r:id="rId33" ref="A233"/>
    <hyperlink r:id="rId34" ref="A240"/>
    <hyperlink r:id="rId35" ref="A247"/>
    <hyperlink r:id="rId36" ref="A254"/>
    <hyperlink r:id="rId37" ref="A261"/>
    <hyperlink r:id="rId38" ref="A268"/>
    <hyperlink r:id="rId39" ref="A275"/>
    <hyperlink r:id="rId40" ref="A282"/>
    <hyperlink r:id="rId41" ref="A289"/>
    <hyperlink r:id="rId42" ref="A296"/>
    <hyperlink r:id="rId43" ref="A303"/>
    <hyperlink r:id="rId44" ref="A310"/>
    <hyperlink r:id="rId45" ref="A317"/>
    <hyperlink r:id="rId46" ref="A324"/>
    <hyperlink r:id="rId47" ref="A331"/>
    <hyperlink r:id="rId48" ref="A338"/>
    <hyperlink r:id="rId49" ref="A345"/>
  </hyperlinks>
  <drawing r:id="rId50"/>
  <tableParts count="1">
    <tablePart r:id="rId5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  <col customWidth="1" min="2" max="2" width="86.38"/>
    <col customWidth="1" min="3" max="3" width="29.75"/>
    <col customWidth="1" min="4" max="4" width="111.13"/>
    <col customWidth="1" min="5" max="5" width="29.88"/>
  </cols>
  <sheetData>
    <row r="1">
      <c r="A1" s="17" t="s">
        <v>8</v>
      </c>
      <c r="B1" s="18" t="s">
        <v>9</v>
      </c>
    </row>
    <row r="2">
      <c r="D2" s="19" t="s">
        <v>10</v>
      </c>
      <c r="E2" s="19" t="s">
        <v>11</v>
      </c>
    </row>
    <row r="3">
      <c r="A3" s="20" t="s">
        <v>12</v>
      </c>
      <c r="B3" s="11" t="s">
        <v>13</v>
      </c>
      <c r="D3" s="21" t="s">
        <v>14</v>
      </c>
      <c r="E3" s="22">
        <v>5.0</v>
      </c>
    </row>
    <row r="4">
      <c r="A4" s="20" t="s">
        <v>15</v>
      </c>
      <c r="B4" s="11" t="s">
        <v>16</v>
      </c>
      <c r="D4" s="21" t="s">
        <v>17</v>
      </c>
      <c r="E4" s="22">
        <v>4.5</v>
      </c>
    </row>
    <row r="5">
      <c r="A5" s="20" t="s">
        <v>18</v>
      </c>
      <c r="B5" s="11" t="s">
        <v>19</v>
      </c>
      <c r="D5" s="21" t="s">
        <v>20</v>
      </c>
      <c r="E5" s="22">
        <v>4.0</v>
      </c>
    </row>
    <row r="6">
      <c r="A6" s="20" t="s">
        <v>21</v>
      </c>
      <c r="B6" s="11" t="s">
        <v>22</v>
      </c>
      <c r="D6" s="21" t="s">
        <v>23</v>
      </c>
      <c r="E6" s="22">
        <v>3.5</v>
      </c>
    </row>
    <row r="7">
      <c r="A7" s="20" t="s">
        <v>24</v>
      </c>
      <c r="B7" s="11" t="s">
        <v>25</v>
      </c>
      <c r="D7" s="21" t="s">
        <v>26</v>
      </c>
      <c r="E7" s="22">
        <v>3.0</v>
      </c>
    </row>
    <row r="8">
      <c r="D8" s="21" t="s">
        <v>27</v>
      </c>
      <c r="E8" s="22">
        <v>2.5</v>
      </c>
    </row>
    <row r="9">
      <c r="B9" s="23" t="s">
        <v>28</v>
      </c>
      <c r="D9" s="21" t="s">
        <v>29</v>
      </c>
      <c r="E9" s="22">
        <v>2.0</v>
      </c>
    </row>
    <row r="10">
      <c r="D10" s="21" t="s">
        <v>30</v>
      </c>
      <c r="E10" s="22">
        <v>1.5</v>
      </c>
    </row>
    <row r="11">
      <c r="D11" s="21" t="s">
        <v>31</v>
      </c>
      <c r="E11" s="22">
        <v>1.0</v>
      </c>
    </row>
    <row r="12">
      <c r="A12" s="24" t="s">
        <v>32</v>
      </c>
      <c r="B12" s="11" t="s">
        <v>33</v>
      </c>
    </row>
    <row r="13">
      <c r="A13" s="25"/>
      <c r="B13" s="11" t="s">
        <v>34</v>
      </c>
    </row>
    <row r="14">
      <c r="B14" s="26" t="s">
        <v>35</v>
      </c>
      <c r="C14" s="27" t="s">
        <v>36</v>
      </c>
      <c r="D14" s="27"/>
    </row>
    <row r="15">
      <c r="B15" s="11" t="s">
        <v>37</v>
      </c>
    </row>
    <row r="16">
      <c r="B16" s="11" t="s">
        <v>38</v>
      </c>
    </row>
    <row r="17">
      <c r="B17" s="11" t="s">
        <v>39</v>
      </c>
      <c r="C17" s="28" t="s">
        <v>40</v>
      </c>
      <c r="D17" s="27"/>
    </row>
    <row r="18">
      <c r="B18" s="11" t="s">
        <v>41</v>
      </c>
      <c r="C18" s="28" t="s">
        <v>42</v>
      </c>
      <c r="D18" s="27"/>
    </row>
    <row r="19">
      <c r="B19" s="26" t="s">
        <v>43</v>
      </c>
      <c r="C19" s="23" t="s">
        <v>44</v>
      </c>
    </row>
    <row r="20">
      <c r="B20" s="11"/>
    </row>
    <row r="21">
      <c r="B21" s="11"/>
    </row>
    <row r="22">
      <c r="B22" s="11"/>
    </row>
    <row r="23">
      <c r="B23" s="3"/>
    </row>
    <row r="24">
      <c r="B24" s="11"/>
    </row>
    <row r="39">
      <c r="D39" s="29" t="str">
        <f>IFERROR(__xludf.DUMMYFUNCTION("TEXTJOIN("","", TRUE, IMPORTXML(B1,B8))"),"#VALUE!")</f>
        <v>#VALUE!</v>
      </c>
    </row>
  </sheetData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5.63"/>
    <col customWidth="1" min="3" max="3" width="22.63"/>
    <col customWidth="1" min="4" max="4" width="17.5"/>
    <col customWidth="1" min="5" max="5" width="36.5"/>
    <col customWidth="1" min="6" max="7" width="12.63"/>
    <col customWidth="1" min="9" max="9" width="19.88"/>
  </cols>
  <sheetData>
    <row r="1">
      <c r="A1" s="1" t="s">
        <v>45</v>
      </c>
      <c r="B1" s="30" t="s">
        <v>1</v>
      </c>
      <c r="C1" s="30" t="s">
        <v>2</v>
      </c>
      <c r="D1" s="31" t="s">
        <v>3</v>
      </c>
      <c r="E1" s="30" t="s">
        <v>4</v>
      </c>
      <c r="F1" s="32" t="s">
        <v>46</v>
      </c>
      <c r="G1" s="32" t="s">
        <v>47</v>
      </c>
      <c r="H1" s="30" t="s">
        <v>48</v>
      </c>
      <c r="I1" s="33" t="s">
        <v>49</v>
      </c>
    </row>
    <row r="2">
      <c r="A2" s="34" t="s">
        <v>50</v>
      </c>
      <c r="B2" s="10"/>
      <c r="C2" s="10"/>
      <c r="D2" s="35"/>
      <c r="E2" s="10"/>
      <c r="F2" s="10"/>
      <c r="G2" s="10"/>
      <c r="H2" s="10"/>
      <c r="I2" s="6"/>
    </row>
    <row r="3">
      <c r="A3" s="8" t="s">
        <v>51</v>
      </c>
      <c r="B3" s="8" t="s">
        <v>52</v>
      </c>
      <c r="C3" s="8">
        <v>31.25</v>
      </c>
      <c r="D3" s="5" t="s">
        <v>53</v>
      </c>
      <c r="E3" s="8" t="s">
        <v>54</v>
      </c>
      <c r="F3" s="10">
        <v>45.5244376</v>
      </c>
      <c r="G3" s="10">
        <v>-73.5963781</v>
      </c>
      <c r="H3" s="10"/>
      <c r="I3" s="36">
        <v>4.5</v>
      </c>
    </row>
    <row r="4">
      <c r="A4" s="8" t="s">
        <v>55</v>
      </c>
      <c r="D4" s="5"/>
      <c r="I4" s="6"/>
    </row>
    <row r="5">
      <c r="A5" s="8" t="s">
        <v>56</v>
      </c>
      <c r="B5" s="8" t="s">
        <v>57</v>
      </c>
      <c r="C5" s="8">
        <v>25.0</v>
      </c>
      <c r="D5" s="5" t="s">
        <v>58</v>
      </c>
      <c r="E5" s="8" t="s">
        <v>59</v>
      </c>
      <c r="F5" s="10">
        <v>45.5262556</v>
      </c>
      <c r="G5" s="10">
        <v>-73.6029853</v>
      </c>
      <c r="H5" s="10"/>
      <c r="I5" s="36">
        <v>4.5</v>
      </c>
    </row>
    <row r="6">
      <c r="A6" s="8" t="s">
        <v>60</v>
      </c>
      <c r="D6" s="5"/>
      <c r="I6" s="6"/>
    </row>
    <row r="7">
      <c r="A7" s="8" t="s">
        <v>61</v>
      </c>
      <c r="B7" s="8" t="s">
        <v>52</v>
      </c>
      <c r="C7" s="8">
        <v>31.25</v>
      </c>
      <c r="D7" s="5" t="s">
        <v>58</v>
      </c>
      <c r="E7" s="8" t="s">
        <v>62</v>
      </c>
      <c r="F7" s="10">
        <v>45.5208464</v>
      </c>
      <c r="G7" s="10">
        <v>-73.5755691</v>
      </c>
      <c r="H7" s="10"/>
      <c r="I7" s="36">
        <v>5.0</v>
      </c>
    </row>
    <row r="8">
      <c r="A8" s="8" t="s">
        <v>63</v>
      </c>
      <c r="D8" s="5"/>
      <c r="I8" s="6"/>
    </row>
    <row r="9">
      <c r="A9" s="8" t="s">
        <v>64</v>
      </c>
      <c r="B9" s="8" t="s">
        <v>65</v>
      </c>
      <c r="C9" s="8">
        <v>17.5</v>
      </c>
      <c r="D9" s="5" t="s">
        <v>58</v>
      </c>
      <c r="E9" s="8" t="s">
        <v>66</v>
      </c>
      <c r="F9" s="10">
        <v>45.5218924</v>
      </c>
      <c r="G9" s="10">
        <v>-73.5702113999999</v>
      </c>
      <c r="H9" s="10"/>
      <c r="I9" s="36">
        <v>5.0</v>
      </c>
    </row>
    <row r="10">
      <c r="A10" s="8" t="s">
        <v>67</v>
      </c>
      <c r="D10" s="5"/>
      <c r="I10" s="6"/>
    </row>
    <row r="11">
      <c r="A11" s="8" t="s">
        <v>68</v>
      </c>
      <c r="B11" s="8" t="s">
        <v>69</v>
      </c>
      <c r="C11" s="8">
        <v>10.0</v>
      </c>
      <c r="D11" s="5" t="s">
        <v>53</v>
      </c>
      <c r="E11" s="8" t="s">
        <v>70</v>
      </c>
      <c r="F11" s="10">
        <v>45.5226202</v>
      </c>
      <c r="G11" s="10">
        <v>-73.5958423</v>
      </c>
      <c r="H11" s="10"/>
      <c r="I11" s="36">
        <v>4.5</v>
      </c>
    </row>
    <row r="12">
      <c r="A12" s="8" t="s">
        <v>71</v>
      </c>
      <c r="D12" s="5"/>
      <c r="I12" s="6"/>
    </row>
    <row r="13">
      <c r="A13" s="8" t="s">
        <v>72</v>
      </c>
      <c r="B13" s="8" t="s">
        <v>57</v>
      </c>
      <c r="C13" s="8">
        <v>25.0</v>
      </c>
      <c r="D13" s="5" t="s">
        <v>73</v>
      </c>
      <c r="E13" s="8" t="s">
        <v>74</v>
      </c>
      <c r="F13" s="10">
        <v>45.530606</v>
      </c>
      <c r="G13" s="10">
        <v>-73.5770134999999</v>
      </c>
      <c r="H13" s="10"/>
      <c r="I13" s="36">
        <v>5.0</v>
      </c>
    </row>
    <row r="14">
      <c r="A14" s="8" t="s">
        <v>75</v>
      </c>
      <c r="D14" s="5"/>
      <c r="I14" s="6"/>
    </row>
    <row r="15">
      <c r="A15" s="8" t="s">
        <v>76</v>
      </c>
      <c r="B15" s="8" t="s">
        <v>57</v>
      </c>
      <c r="C15" s="8">
        <v>25.0</v>
      </c>
      <c r="D15" s="5" t="s">
        <v>53</v>
      </c>
      <c r="E15" s="8" t="s">
        <v>77</v>
      </c>
      <c r="F15" s="10">
        <v>45.5213708</v>
      </c>
      <c r="G15" s="10">
        <v>-73.5751492999999</v>
      </c>
      <c r="H15" s="10"/>
      <c r="I15" s="36">
        <v>4.5</v>
      </c>
    </row>
    <row r="16">
      <c r="A16" s="8" t="s">
        <v>78</v>
      </c>
      <c r="D16" s="5"/>
      <c r="I16" s="6"/>
    </row>
    <row r="17">
      <c r="A17" s="8" t="s">
        <v>79</v>
      </c>
      <c r="B17" s="8" t="s">
        <v>65</v>
      </c>
      <c r="C17" s="8">
        <v>17.5</v>
      </c>
      <c r="D17" s="5" t="s">
        <v>53</v>
      </c>
      <c r="E17" s="8" t="s">
        <v>80</v>
      </c>
      <c r="F17" s="10">
        <v>45.5267457</v>
      </c>
      <c r="G17" s="10">
        <v>-73.5886482</v>
      </c>
      <c r="H17" s="10"/>
      <c r="I17" s="36">
        <v>4.5</v>
      </c>
    </row>
    <row r="18">
      <c r="A18" s="8" t="s">
        <v>81</v>
      </c>
      <c r="D18" s="5"/>
      <c r="I18" s="6"/>
    </row>
    <row r="19">
      <c r="A19" s="8" t="s">
        <v>82</v>
      </c>
      <c r="B19" s="8" t="s">
        <v>69</v>
      </c>
      <c r="C19" s="8">
        <v>10.0</v>
      </c>
      <c r="D19" s="5" t="s">
        <v>73</v>
      </c>
      <c r="E19" s="8" t="s">
        <v>83</v>
      </c>
      <c r="F19" s="10">
        <v>45.5204652</v>
      </c>
      <c r="G19" s="10">
        <v>-73.5862691</v>
      </c>
      <c r="H19" s="10"/>
      <c r="I19" s="36">
        <v>5.0</v>
      </c>
    </row>
    <row r="20">
      <c r="A20" s="8" t="s">
        <v>84</v>
      </c>
      <c r="D20" s="5"/>
      <c r="I20" s="6"/>
    </row>
    <row r="21">
      <c r="A21" s="8" t="s">
        <v>85</v>
      </c>
      <c r="B21" s="8" t="s">
        <v>69</v>
      </c>
      <c r="C21" s="8">
        <v>10.0</v>
      </c>
      <c r="D21" s="5" t="s">
        <v>58</v>
      </c>
      <c r="E21" s="8" t="s">
        <v>86</v>
      </c>
      <c r="F21" s="10">
        <v>45.5241973</v>
      </c>
      <c r="G21" s="10">
        <v>-73.5839931</v>
      </c>
      <c r="H21" s="10"/>
      <c r="I21" s="36">
        <v>5.0</v>
      </c>
    </row>
    <row r="22">
      <c r="A22" s="8" t="s">
        <v>87</v>
      </c>
      <c r="D22" s="5"/>
      <c r="I22" s="6"/>
    </row>
    <row r="23">
      <c r="A23" s="8" t="s">
        <v>88</v>
      </c>
      <c r="B23" s="8" t="s">
        <v>52</v>
      </c>
      <c r="C23" s="8">
        <v>31.25</v>
      </c>
      <c r="D23" s="5"/>
      <c r="E23" s="8" t="s">
        <v>89</v>
      </c>
      <c r="F23" s="10">
        <v>45.5249484</v>
      </c>
      <c r="G23" s="10">
        <v>-73.5973896</v>
      </c>
      <c r="H23" s="10"/>
      <c r="I23" s="36">
        <v>5.0</v>
      </c>
    </row>
    <row r="24">
      <c r="A24" s="8" t="s">
        <v>90</v>
      </c>
      <c r="D24" s="5"/>
      <c r="I24" s="6"/>
    </row>
    <row r="25">
      <c r="A25" s="8" t="s">
        <v>91</v>
      </c>
      <c r="B25" s="8" t="s">
        <v>69</v>
      </c>
      <c r="C25" s="8">
        <v>10.0</v>
      </c>
      <c r="D25" s="5" t="s">
        <v>53</v>
      </c>
      <c r="E25" s="8" t="s">
        <v>92</v>
      </c>
      <c r="F25" s="10">
        <v>45.522375</v>
      </c>
      <c r="G25" s="10">
        <v>-73.5779194</v>
      </c>
      <c r="H25" s="10"/>
      <c r="I25" s="36">
        <v>4.5</v>
      </c>
    </row>
    <row r="26">
      <c r="A26" s="8" t="s">
        <v>93</v>
      </c>
      <c r="D26" s="5"/>
      <c r="I26" s="6"/>
    </row>
    <row r="27">
      <c r="A27" s="8" t="s">
        <v>94</v>
      </c>
      <c r="B27" s="8" t="s">
        <v>57</v>
      </c>
      <c r="C27" s="8">
        <v>25.0</v>
      </c>
      <c r="D27" s="5" t="s">
        <v>73</v>
      </c>
      <c r="E27" s="8" t="s">
        <v>95</v>
      </c>
      <c r="F27" s="10">
        <v>45.5199025</v>
      </c>
      <c r="G27" s="10">
        <v>-73.5743636</v>
      </c>
      <c r="H27" s="10"/>
      <c r="I27" s="36">
        <v>5.0</v>
      </c>
    </row>
    <row r="28">
      <c r="A28" s="8" t="s">
        <v>96</v>
      </c>
      <c r="D28" s="5"/>
      <c r="I28" s="6"/>
    </row>
    <row r="29">
      <c r="A29" s="8" t="s">
        <v>97</v>
      </c>
      <c r="B29" s="8" t="s">
        <v>65</v>
      </c>
      <c r="C29" s="8">
        <v>17.5</v>
      </c>
      <c r="D29" s="5" t="s">
        <v>98</v>
      </c>
      <c r="E29" s="8" t="s">
        <v>99</v>
      </c>
      <c r="F29" s="10">
        <v>45.5253117</v>
      </c>
      <c r="G29" s="10">
        <v>-73.5746721</v>
      </c>
      <c r="H29" s="10"/>
      <c r="I29" s="36">
        <v>4.5</v>
      </c>
    </row>
    <row r="30">
      <c r="A30" s="8" t="s">
        <v>100</v>
      </c>
      <c r="D30" s="5"/>
      <c r="I30" s="6"/>
    </row>
    <row r="31">
      <c r="A31" s="8" t="s">
        <v>101</v>
      </c>
      <c r="B31" s="8" t="s">
        <v>65</v>
      </c>
      <c r="C31" s="8">
        <v>17.5</v>
      </c>
      <c r="D31" s="5" t="s">
        <v>73</v>
      </c>
      <c r="E31" s="8" t="s">
        <v>102</v>
      </c>
      <c r="F31" s="10">
        <v>45.5208609</v>
      </c>
      <c r="G31" s="10">
        <v>-73.5766261</v>
      </c>
      <c r="H31" s="10"/>
      <c r="I31" s="36">
        <v>5.0</v>
      </c>
    </row>
    <row r="32">
      <c r="A32" s="8" t="s">
        <v>103</v>
      </c>
      <c r="D32" s="5"/>
      <c r="I32" s="6"/>
    </row>
    <row r="33">
      <c r="A33" s="8" t="s">
        <v>104</v>
      </c>
      <c r="B33" s="8" t="s">
        <v>69</v>
      </c>
      <c r="C33" s="8">
        <v>10.0</v>
      </c>
      <c r="D33" s="5" t="s">
        <v>58</v>
      </c>
      <c r="E33" s="8" t="s">
        <v>105</v>
      </c>
      <c r="F33" s="10">
        <v>45.5180023</v>
      </c>
      <c r="G33" s="10">
        <v>-73.5693333999999</v>
      </c>
      <c r="H33" s="10"/>
      <c r="I33" s="36">
        <v>5.0</v>
      </c>
    </row>
    <row r="34">
      <c r="A34" s="8" t="s">
        <v>106</v>
      </c>
      <c r="D34" s="5"/>
      <c r="I34" s="6"/>
    </row>
    <row r="35">
      <c r="A35" s="8" t="s">
        <v>107</v>
      </c>
      <c r="B35" s="8" t="s">
        <v>65</v>
      </c>
      <c r="C35" s="8">
        <v>17.5</v>
      </c>
      <c r="D35" s="5" t="s">
        <v>53</v>
      </c>
      <c r="E35" s="8" t="s">
        <v>108</v>
      </c>
      <c r="F35" s="10">
        <v>45.5250157</v>
      </c>
      <c r="G35" s="10">
        <v>-73.5847790999999</v>
      </c>
      <c r="H35" s="10"/>
      <c r="I35" s="36">
        <v>5.0</v>
      </c>
    </row>
    <row r="36">
      <c r="A36" s="8" t="s">
        <v>109</v>
      </c>
      <c r="D36" s="5"/>
      <c r="I36" s="6"/>
    </row>
    <row r="37">
      <c r="A37" s="8" t="s">
        <v>110</v>
      </c>
      <c r="B37" s="8" t="s">
        <v>52</v>
      </c>
      <c r="C37" s="8">
        <v>31.25</v>
      </c>
      <c r="D37" s="5" t="s">
        <v>73</v>
      </c>
      <c r="E37" s="8" t="s">
        <v>111</v>
      </c>
      <c r="F37" s="10">
        <v>45.5292533999999</v>
      </c>
      <c r="G37" s="10">
        <v>-73.5783917999999</v>
      </c>
      <c r="H37" s="10"/>
      <c r="I37" s="36">
        <v>5.0</v>
      </c>
    </row>
    <row r="38">
      <c r="A38" s="8" t="s">
        <v>112</v>
      </c>
      <c r="D38" s="5"/>
      <c r="I38" s="6"/>
    </row>
    <row r="39">
      <c r="A39" s="8" t="s">
        <v>113</v>
      </c>
      <c r="B39" s="8" t="s">
        <v>69</v>
      </c>
      <c r="C39" s="8">
        <v>10.0</v>
      </c>
      <c r="D39" s="5" t="s">
        <v>114</v>
      </c>
      <c r="E39" s="8" t="s">
        <v>115</v>
      </c>
      <c r="F39" s="10">
        <v>45.5212949999999</v>
      </c>
      <c r="G39" s="10">
        <v>-73.5970541</v>
      </c>
      <c r="H39" s="10"/>
      <c r="I39" s="36">
        <v>5.0</v>
      </c>
    </row>
    <row r="40">
      <c r="A40" s="8" t="s">
        <v>116</v>
      </c>
      <c r="D40" s="5"/>
      <c r="I40" s="6"/>
    </row>
    <row r="41">
      <c r="A41" s="8" t="s">
        <v>117</v>
      </c>
      <c r="B41" s="8" t="s">
        <v>65</v>
      </c>
      <c r="C41" s="8">
        <v>17.5</v>
      </c>
      <c r="D41" s="5" t="s">
        <v>53</v>
      </c>
      <c r="E41" s="8" t="s">
        <v>118</v>
      </c>
      <c r="F41" s="10">
        <v>45.5241379</v>
      </c>
      <c r="G41" s="10">
        <v>-73.5948184</v>
      </c>
      <c r="H41" s="10"/>
      <c r="I41" s="36">
        <v>5.0</v>
      </c>
    </row>
    <row r="42">
      <c r="A42" s="8" t="s">
        <v>119</v>
      </c>
      <c r="D42" s="5"/>
      <c r="I42" s="6"/>
    </row>
    <row r="43">
      <c r="A43" s="8" t="s">
        <v>120</v>
      </c>
      <c r="B43" s="8" t="s">
        <v>69</v>
      </c>
      <c r="C43" s="8">
        <v>10.0</v>
      </c>
      <c r="D43" s="5" t="s">
        <v>53</v>
      </c>
      <c r="E43" s="8" t="s">
        <v>121</v>
      </c>
      <c r="F43" s="10">
        <v>45.5232378</v>
      </c>
      <c r="G43" s="10">
        <v>-73.5833342999999</v>
      </c>
      <c r="H43" s="10"/>
      <c r="I43" s="36">
        <v>5.0</v>
      </c>
    </row>
    <row r="44">
      <c r="A44" s="8" t="s">
        <v>122</v>
      </c>
      <c r="D44" s="5"/>
      <c r="I44" s="6"/>
    </row>
    <row r="45">
      <c r="A45" s="8" t="s">
        <v>123</v>
      </c>
      <c r="B45" s="8" t="s">
        <v>65</v>
      </c>
      <c r="C45" s="8">
        <v>17.5</v>
      </c>
      <c r="D45" s="5"/>
      <c r="E45" s="8" t="s">
        <v>124</v>
      </c>
      <c r="F45" s="10">
        <v>45.522635</v>
      </c>
      <c r="G45" s="10">
        <v>-73.574298</v>
      </c>
      <c r="H45" s="10"/>
      <c r="I45" s="36">
        <v>4.5</v>
      </c>
    </row>
    <row r="46">
      <c r="A46" s="8" t="s">
        <v>125</v>
      </c>
      <c r="D46" s="5"/>
      <c r="I46" s="6"/>
    </row>
    <row r="47">
      <c r="A47" s="8" t="s">
        <v>126</v>
      </c>
      <c r="B47" s="8" t="s">
        <v>52</v>
      </c>
      <c r="C47" s="8">
        <v>31.25</v>
      </c>
      <c r="D47" s="5" t="str">
        <f>IFERROR(__xludf.DUMMYFUNCTION("IMPORTXML(A46,'URLs and Paths'!$B$5)"),"  Master Card, Visa, Interac")</f>
        <v>  Master Card, Visa, Interac</v>
      </c>
      <c r="E47" s="8" t="s">
        <v>127</v>
      </c>
      <c r="F47" s="10">
        <v>45.5172672</v>
      </c>
      <c r="G47" s="10">
        <v>-73.5687045999999</v>
      </c>
      <c r="H47" s="10"/>
      <c r="I47" s="36">
        <v>5.0</v>
      </c>
    </row>
    <row r="48">
      <c r="A48" s="8" t="s">
        <v>128</v>
      </c>
      <c r="D48" s="5"/>
      <c r="I48" s="6"/>
    </row>
    <row r="49">
      <c r="A49" s="8" t="s">
        <v>129</v>
      </c>
      <c r="B49" s="8" t="s">
        <v>57</v>
      </c>
      <c r="C49" s="8">
        <v>25.0</v>
      </c>
      <c r="D49" s="5"/>
      <c r="E49" s="8" t="s">
        <v>130</v>
      </c>
      <c r="F49" s="10">
        <v>45.5221494</v>
      </c>
      <c r="G49" s="10">
        <v>-73.59111</v>
      </c>
      <c r="H49" s="10"/>
      <c r="I49" s="36">
        <v>4.5</v>
      </c>
    </row>
    <row r="50">
      <c r="A50" s="8" t="s">
        <v>131</v>
      </c>
      <c r="D50" s="5"/>
      <c r="I50" s="6"/>
    </row>
    <row r="51">
      <c r="A51" s="8" t="s">
        <v>132</v>
      </c>
      <c r="B51" s="8" t="s">
        <v>57</v>
      </c>
      <c r="C51" s="8">
        <v>25.0</v>
      </c>
      <c r="D51" s="5" t="s">
        <v>58</v>
      </c>
      <c r="E51" s="8" t="s">
        <v>133</v>
      </c>
      <c r="F51" s="10">
        <v>45.517576</v>
      </c>
      <c r="G51" s="10">
        <v>-73.5817725</v>
      </c>
      <c r="H51" s="10"/>
      <c r="I51" s="36">
        <v>5.0</v>
      </c>
    </row>
    <row r="52">
      <c r="A52" s="8" t="s">
        <v>134</v>
      </c>
      <c r="D52" s="5"/>
      <c r="I52" s="6"/>
    </row>
    <row r="53">
      <c r="A53" s="8" t="s">
        <v>135</v>
      </c>
      <c r="B53" s="8" t="s">
        <v>65</v>
      </c>
      <c r="C53" s="8">
        <v>17.5</v>
      </c>
      <c r="D53" s="5" t="s">
        <v>53</v>
      </c>
      <c r="E53" s="8" t="s">
        <v>136</v>
      </c>
      <c r="F53" s="10">
        <v>45.522282</v>
      </c>
      <c r="G53" s="10">
        <v>-73.6028316</v>
      </c>
      <c r="H53" s="10"/>
      <c r="I53" s="36">
        <v>5.0</v>
      </c>
    </row>
    <row r="54">
      <c r="A54" s="8" t="s">
        <v>137</v>
      </c>
      <c r="D54" s="35"/>
      <c r="I54" s="6"/>
    </row>
    <row r="55">
      <c r="A55" s="8" t="s">
        <v>138</v>
      </c>
      <c r="B55" s="8" t="s">
        <v>65</v>
      </c>
      <c r="C55" s="8">
        <v>17.5</v>
      </c>
      <c r="D55" s="5" t="s">
        <v>73</v>
      </c>
      <c r="E55" s="8" t="s">
        <v>139</v>
      </c>
      <c r="F55" s="10">
        <v>45.5162372</v>
      </c>
      <c r="G55" s="10">
        <v>-73.5656314</v>
      </c>
      <c r="H55" s="10"/>
      <c r="I55" s="36">
        <v>4.0</v>
      </c>
    </row>
    <row r="56">
      <c r="A56" s="8" t="s">
        <v>140</v>
      </c>
      <c r="D56" s="5"/>
      <c r="I56" s="6"/>
    </row>
    <row r="57">
      <c r="A57" s="8" t="s">
        <v>141</v>
      </c>
      <c r="B57" s="8" t="s">
        <v>57</v>
      </c>
      <c r="C57" s="8">
        <v>25.0</v>
      </c>
      <c r="D57" s="5" t="s">
        <v>58</v>
      </c>
      <c r="E57" s="8" t="s">
        <v>142</v>
      </c>
      <c r="F57" s="10">
        <v>45.5211176</v>
      </c>
      <c r="G57" s="10">
        <v>-73.5753568</v>
      </c>
      <c r="H57" s="10"/>
      <c r="I57" s="36">
        <v>5.0</v>
      </c>
    </row>
    <row r="58">
      <c r="A58" s="8" t="s">
        <v>143</v>
      </c>
      <c r="D58" s="5"/>
      <c r="I58" s="6"/>
    </row>
    <row r="59">
      <c r="A59" s="8" t="s">
        <v>144</v>
      </c>
      <c r="B59" s="8" t="s">
        <v>65</v>
      </c>
      <c r="C59" s="8">
        <v>17.5</v>
      </c>
      <c r="D59" s="5" t="s">
        <v>73</v>
      </c>
      <c r="E59" s="8" t="s">
        <v>145</v>
      </c>
      <c r="F59" s="10">
        <v>45.5144876</v>
      </c>
      <c r="G59" s="10">
        <v>-73.5718456</v>
      </c>
      <c r="H59" s="10"/>
      <c r="I59" s="36">
        <v>5.0</v>
      </c>
    </row>
    <row r="60">
      <c r="A60" s="8" t="s">
        <v>146</v>
      </c>
      <c r="D60" s="5"/>
      <c r="I60" s="6"/>
    </row>
    <row r="61">
      <c r="A61" s="8" t="s">
        <v>147</v>
      </c>
      <c r="B61" s="8" t="s">
        <v>69</v>
      </c>
      <c r="C61" s="8">
        <v>10.0</v>
      </c>
      <c r="D61" s="5" t="s">
        <v>148</v>
      </c>
      <c r="E61" s="8" t="s">
        <v>149</v>
      </c>
      <c r="F61" s="10">
        <v>45.5134992</v>
      </c>
      <c r="G61" s="10">
        <v>-73.571102</v>
      </c>
      <c r="H61" s="10"/>
      <c r="I61" s="36">
        <v>4.5</v>
      </c>
    </row>
    <row r="62">
      <c r="A62" s="8" t="s">
        <v>150</v>
      </c>
      <c r="D62" s="5"/>
      <c r="I62" s="6"/>
    </row>
    <row r="63">
      <c r="A63" s="8" t="s">
        <v>151</v>
      </c>
      <c r="B63" s="8" t="s">
        <v>57</v>
      </c>
      <c r="C63" s="8">
        <v>25.0</v>
      </c>
      <c r="D63" s="5"/>
      <c r="E63" s="8" t="s">
        <v>152</v>
      </c>
      <c r="F63" s="10">
        <v>45.5143778</v>
      </c>
      <c r="G63" s="10">
        <v>-73.5731651</v>
      </c>
      <c r="H63" s="10"/>
      <c r="I63" s="36">
        <v>5.0</v>
      </c>
    </row>
    <row r="64">
      <c r="A64" s="8" t="s">
        <v>153</v>
      </c>
      <c r="D64" s="5"/>
      <c r="I64" s="6"/>
    </row>
    <row r="65">
      <c r="A65" s="8" t="s">
        <v>154</v>
      </c>
      <c r="B65" s="8" t="s">
        <v>52</v>
      </c>
      <c r="C65" s="8">
        <v>31.25</v>
      </c>
      <c r="D65" s="5" t="s">
        <v>73</v>
      </c>
      <c r="E65" s="10" t="s">
        <v>155</v>
      </c>
      <c r="F65" s="10">
        <v>45.5157511</v>
      </c>
      <c r="G65" s="10">
        <v>-73.5644366</v>
      </c>
      <c r="H65" s="10"/>
      <c r="I65" s="36">
        <v>5.0</v>
      </c>
    </row>
    <row r="66">
      <c r="A66" s="8" t="s">
        <v>156</v>
      </c>
      <c r="D66" s="5"/>
      <c r="I66" s="6"/>
    </row>
    <row r="67">
      <c r="A67" s="8" t="s">
        <v>157</v>
      </c>
      <c r="B67" s="8" t="s">
        <v>52</v>
      </c>
      <c r="C67" s="8">
        <v>31.25</v>
      </c>
      <c r="D67" s="5"/>
      <c r="E67" s="8" t="s">
        <v>158</v>
      </c>
      <c r="F67" s="10">
        <v>45.5292375999999</v>
      </c>
      <c r="G67" s="10">
        <v>-73.5784027</v>
      </c>
      <c r="H67" s="10"/>
      <c r="I67" s="36">
        <v>4.5</v>
      </c>
    </row>
    <row r="68">
      <c r="A68" s="8" t="s">
        <v>159</v>
      </c>
      <c r="D68" s="5"/>
      <c r="I68" s="6"/>
    </row>
    <row r="69">
      <c r="A69" s="8" t="s">
        <v>160</v>
      </c>
      <c r="B69" s="8" t="s">
        <v>69</v>
      </c>
      <c r="C69" s="8">
        <v>10.0</v>
      </c>
      <c r="D69" s="5" t="s">
        <v>53</v>
      </c>
      <c r="E69" s="8" t="s">
        <v>161</v>
      </c>
      <c r="F69" s="10">
        <v>45.5196338</v>
      </c>
      <c r="G69" s="10">
        <v>-73.5728477</v>
      </c>
      <c r="H69" s="10"/>
      <c r="I69" s="36">
        <v>4.5</v>
      </c>
    </row>
    <row r="70">
      <c r="A70" s="8" t="s">
        <v>162</v>
      </c>
      <c r="D70" s="5"/>
      <c r="I70" s="6"/>
    </row>
    <row r="71">
      <c r="A71" s="8" t="s">
        <v>163</v>
      </c>
      <c r="B71" s="8" t="s">
        <v>57</v>
      </c>
      <c r="C71" s="8">
        <v>25.0</v>
      </c>
      <c r="D71" s="5" t="s">
        <v>148</v>
      </c>
      <c r="E71" s="8" t="s">
        <v>164</v>
      </c>
      <c r="F71" s="10">
        <v>45.5331672</v>
      </c>
      <c r="G71" s="10">
        <v>-73.5755743</v>
      </c>
      <c r="H71" s="10"/>
      <c r="I71" s="36">
        <v>4.5</v>
      </c>
    </row>
    <row r="72">
      <c r="A72" s="8" t="s">
        <v>165</v>
      </c>
      <c r="D72" s="5"/>
      <c r="I72" s="6"/>
    </row>
    <row r="73">
      <c r="A73" s="8" t="s">
        <v>166</v>
      </c>
      <c r="B73" s="8" t="s">
        <v>69</v>
      </c>
      <c r="C73" s="8">
        <v>10.0</v>
      </c>
      <c r="D73" s="5" t="s">
        <v>58</v>
      </c>
      <c r="E73" s="8" t="s">
        <v>167</v>
      </c>
      <c r="F73" s="10">
        <v>45.5215273</v>
      </c>
      <c r="G73" s="10">
        <v>-73.5891254</v>
      </c>
      <c r="H73" s="10"/>
      <c r="I73" s="36">
        <v>5.0</v>
      </c>
    </row>
    <row r="74">
      <c r="A74" s="8" t="s">
        <v>168</v>
      </c>
      <c r="D74" s="5"/>
      <c r="I74" s="6"/>
    </row>
    <row r="75">
      <c r="A75" s="8" t="s">
        <v>169</v>
      </c>
      <c r="B75" s="8" t="s">
        <v>57</v>
      </c>
      <c r="C75" s="8">
        <v>25.0</v>
      </c>
      <c r="D75" s="5" t="s">
        <v>73</v>
      </c>
      <c r="E75" s="8" t="s">
        <v>170</v>
      </c>
      <c r="F75" s="10">
        <v>45.5221168</v>
      </c>
      <c r="G75" s="10">
        <v>-73.5848292</v>
      </c>
      <c r="H75" s="10"/>
      <c r="I75" s="36">
        <v>4.5</v>
      </c>
    </row>
    <row r="76">
      <c r="A76" s="8" t="s">
        <v>171</v>
      </c>
      <c r="D76" s="5"/>
      <c r="I76" s="6"/>
    </row>
    <row r="77">
      <c r="A77" s="8" t="s">
        <v>172</v>
      </c>
      <c r="B77" s="8" t="s">
        <v>69</v>
      </c>
      <c r="C77" s="8">
        <v>10.0</v>
      </c>
      <c r="D77" s="5" t="s">
        <v>58</v>
      </c>
      <c r="E77" s="8" t="s">
        <v>173</v>
      </c>
      <c r="F77" s="10">
        <v>45.5251927</v>
      </c>
      <c r="G77" s="10">
        <v>-73.5781704</v>
      </c>
      <c r="H77" s="10"/>
      <c r="I77" s="36">
        <v>5.0</v>
      </c>
    </row>
    <row r="78">
      <c r="A78" s="8" t="s">
        <v>174</v>
      </c>
      <c r="D78" s="5"/>
      <c r="I78" s="6"/>
    </row>
    <row r="79">
      <c r="A79" s="8" t="s">
        <v>175</v>
      </c>
      <c r="B79" s="8" t="s">
        <v>65</v>
      </c>
      <c r="C79" s="8">
        <v>17.5</v>
      </c>
      <c r="D79" s="5"/>
      <c r="E79" s="8" t="s">
        <v>176</v>
      </c>
      <c r="F79" s="10">
        <v>45.5239351</v>
      </c>
      <c r="G79" s="10">
        <v>-73.5823413</v>
      </c>
      <c r="H79" s="10"/>
      <c r="I79" s="36">
        <v>4.5</v>
      </c>
    </row>
    <row r="80">
      <c r="A80" s="8" t="s">
        <v>177</v>
      </c>
      <c r="D80" s="5"/>
      <c r="I80" s="6"/>
    </row>
    <row r="81">
      <c r="A81" s="8" t="s">
        <v>178</v>
      </c>
      <c r="B81" s="8" t="s">
        <v>57</v>
      </c>
      <c r="C81" s="8">
        <v>25.0</v>
      </c>
      <c r="D81" s="5" t="s">
        <v>58</v>
      </c>
      <c r="E81" s="8" t="s">
        <v>179</v>
      </c>
      <c r="F81" s="10">
        <v>45.5222142</v>
      </c>
      <c r="G81" s="10">
        <v>-73.5810267</v>
      </c>
      <c r="H81" s="10"/>
      <c r="I81" s="36">
        <v>5.0</v>
      </c>
    </row>
    <row r="82">
      <c r="A82" s="8" t="s">
        <v>180</v>
      </c>
      <c r="D82" s="5"/>
      <c r="I82" s="6"/>
    </row>
    <row r="83">
      <c r="A83" s="8" t="s">
        <v>181</v>
      </c>
      <c r="B83" s="8" t="s">
        <v>69</v>
      </c>
      <c r="C83" s="8">
        <v>10.0</v>
      </c>
      <c r="D83" s="5" t="s">
        <v>53</v>
      </c>
      <c r="E83" s="8" t="s">
        <v>182</v>
      </c>
      <c r="F83" s="10">
        <v>45.5311382999999</v>
      </c>
      <c r="G83" s="10">
        <v>-73.576443</v>
      </c>
      <c r="H83" s="10"/>
      <c r="I83" s="36">
        <v>5.0</v>
      </c>
    </row>
    <row r="84">
      <c r="A84" s="8" t="s">
        <v>183</v>
      </c>
      <c r="D84" s="5"/>
      <c r="I84" s="6"/>
    </row>
    <row r="85">
      <c r="A85" s="8" t="s">
        <v>184</v>
      </c>
      <c r="B85" s="8" t="s">
        <v>52</v>
      </c>
      <c r="C85" s="8">
        <v>31.25</v>
      </c>
      <c r="D85" s="5" t="s">
        <v>53</v>
      </c>
      <c r="E85" s="8" t="s">
        <v>185</v>
      </c>
      <c r="F85" s="10">
        <v>45.5143391</v>
      </c>
      <c r="G85" s="10">
        <v>-73.572407</v>
      </c>
      <c r="H85" s="10"/>
      <c r="I85" s="36">
        <v>4.5</v>
      </c>
    </row>
    <row r="86">
      <c r="A86" s="8" t="s">
        <v>186</v>
      </c>
      <c r="D86" s="5"/>
      <c r="I86" s="6"/>
    </row>
    <row r="87">
      <c r="A87" s="8" t="s">
        <v>187</v>
      </c>
      <c r="B87" s="8" t="s">
        <v>69</v>
      </c>
      <c r="C87" s="8">
        <v>10.0</v>
      </c>
      <c r="D87" s="5"/>
      <c r="E87" s="8" t="s">
        <v>188</v>
      </c>
      <c r="F87" s="10">
        <v>45.5348646</v>
      </c>
      <c r="G87" s="10">
        <v>-73.5730148</v>
      </c>
      <c r="H87" s="10"/>
      <c r="I87" s="36">
        <v>4.5</v>
      </c>
    </row>
    <row r="88">
      <c r="A88" s="8" t="s">
        <v>189</v>
      </c>
      <c r="D88" s="5"/>
      <c r="I88" s="6"/>
    </row>
    <row r="89">
      <c r="A89" s="8" t="s">
        <v>190</v>
      </c>
      <c r="B89" s="8" t="s">
        <v>191</v>
      </c>
      <c r="C89" s="8">
        <v>37.5</v>
      </c>
      <c r="D89" s="5" t="s">
        <v>53</v>
      </c>
      <c r="E89" s="8" t="s">
        <v>192</v>
      </c>
      <c r="F89" s="10">
        <v>45.5280020999999</v>
      </c>
      <c r="G89" s="10">
        <v>-73.5912597</v>
      </c>
      <c r="H89" s="10"/>
      <c r="I89" s="36">
        <v>5.0</v>
      </c>
    </row>
    <row r="90">
      <c r="A90" s="8" t="s">
        <v>193</v>
      </c>
      <c r="D90" s="5"/>
      <c r="I90" s="6"/>
    </row>
    <row r="91">
      <c r="A91" s="8" t="s">
        <v>194</v>
      </c>
      <c r="B91" s="8" t="s">
        <v>52</v>
      </c>
      <c r="C91" s="8">
        <v>31.25</v>
      </c>
      <c r="D91" s="5" t="s">
        <v>73</v>
      </c>
      <c r="E91" s="8" t="s">
        <v>195</v>
      </c>
      <c r="F91" s="10">
        <v>45.5241886</v>
      </c>
      <c r="G91" s="10">
        <v>-73.5837526</v>
      </c>
      <c r="H91" s="10"/>
      <c r="I91" s="36">
        <v>5.0</v>
      </c>
    </row>
    <row r="92">
      <c r="A92" s="8" t="s">
        <v>196</v>
      </c>
      <c r="D92" s="5"/>
      <c r="I92" s="6"/>
    </row>
    <row r="93">
      <c r="A93" s="8" t="s">
        <v>197</v>
      </c>
      <c r="B93" s="8" t="s">
        <v>69</v>
      </c>
      <c r="C93" s="8">
        <v>10.0</v>
      </c>
      <c r="D93" s="5" t="s">
        <v>73</v>
      </c>
      <c r="E93" s="8" t="str">
        <f>IFERROR(__xludf.DUMMYFUNCTION("IMPORTXML(A92,'URLs and Paths'!$B$6)"),"2025 Avenue Mont-Royal E, Montreal, H2H 1J7")</f>
        <v>2025 Avenue Mont-Royal E, Montreal, H2H 1J7</v>
      </c>
      <c r="F93" s="10">
        <v>45.5349716</v>
      </c>
      <c r="G93" s="10">
        <v>-73.5729135</v>
      </c>
      <c r="H93" s="10"/>
      <c r="I93" s="36">
        <v>4.5</v>
      </c>
    </row>
    <row r="94">
      <c r="A94" s="8" t="s">
        <v>198</v>
      </c>
      <c r="D94" s="5"/>
      <c r="E94" s="6"/>
      <c r="F94" s="6"/>
      <c r="G94" s="6"/>
      <c r="I94" s="6"/>
    </row>
    <row r="95">
      <c r="A95" s="8" t="s">
        <v>199</v>
      </c>
      <c r="B95" s="8" t="s">
        <v>65</v>
      </c>
      <c r="C95" s="8">
        <v>17.5</v>
      </c>
      <c r="D95" s="5" t="s">
        <v>73</v>
      </c>
      <c r="E95" s="8" t="str">
        <f>IFERROR(__xludf.DUMMYFUNCTION("IMPORTXML(A94,'URLs and Paths'!$B$6)"),"3907 Boulevard St-Laurent, Montreal, H2W 1X9")</f>
        <v>3907 Boulevard St-Laurent, Montreal, H2W 1X9</v>
      </c>
      <c r="F95" s="10">
        <v>45.5164584</v>
      </c>
      <c r="G95" s="10">
        <v>-73.5776652</v>
      </c>
      <c r="H95" s="10"/>
      <c r="I95" s="36">
        <v>4.5</v>
      </c>
    </row>
    <row r="96">
      <c r="A96" s="8" t="s">
        <v>200</v>
      </c>
      <c r="D96" s="5"/>
      <c r="E96" s="6"/>
      <c r="F96" s="6"/>
      <c r="G96" s="6"/>
      <c r="I96" s="6"/>
    </row>
    <row r="97">
      <c r="A97" s="8" t="s">
        <v>201</v>
      </c>
      <c r="B97" s="8" t="s">
        <v>52</v>
      </c>
      <c r="C97" s="8">
        <v>31.25</v>
      </c>
      <c r="D97" s="5" t="s">
        <v>58</v>
      </c>
      <c r="E97" s="8" t="str">
        <f>IFERROR(__xludf.DUMMYFUNCTION("IMPORTXML(A96,'URLs and Paths'!$B$6)"),"1124 Avenue Laurier O, Montreal, H2V 2L4")</f>
        <v>1124 Avenue Laurier O, Montreal, H2V 2L4</v>
      </c>
      <c r="F97" s="10">
        <v>45.5170773</v>
      </c>
      <c r="G97" s="10">
        <v>-73.5978114999999</v>
      </c>
      <c r="H97" s="10"/>
      <c r="I97" s="36">
        <v>5.0</v>
      </c>
    </row>
    <row r="98">
      <c r="A98" s="8" t="s">
        <v>202</v>
      </c>
      <c r="D98" s="5"/>
      <c r="E98" s="6"/>
      <c r="F98" s="6"/>
      <c r="G98" s="6"/>
      <c r="I98" s="6"/>
    </row>
    <row r="99">
      <c r="A99" s="8" t="s">
        <v>203</v>
      </c>
      <c r="D99" s="5" t="e">
        <v>#N/A</v>
      </c>
      <c r="E99" s="8" t="str">
        <f>IFERROR(__xludf.DUMMYFUNCTION("IMPORTXML(A98,'URLs and Paths'!$B$6)"),"Loading...")</f>
        <v>Loading...</v>
      </c>
      <c r="F99" s="10">
        <v>45.5198660999999</v>
      </c>
      <c r="G99" s="10">
        <v>-73.5861403</v>
      </c>
      <c r="H99" s="10"/>
      <c r="I99" s="36">
        <v>4.5</v>
      </c>
    </row>
    <row r="100">
      <c r="A100" s="8" t="s">
        <v>204</v>
      </c>
      <c r="D100" s="5"/>
      <c r="E100" s="6"/>
      <c r="F100" s="6"/>
      <c r="G100" s="6"/>
      <c r="I100" s="6"/>
    </row>
    <row r="101">
      <c r="A101" s="8" t="s">
        <v>205</v>
      </c>
      <c r="C101" s="8">
        <v>25.0</v>
      </c>
      <c r="D101" s="5" t="s">
        <v>148</v>
      </c>
      <c r="E101" s="8" t="str">
        <f>IFERROR(__xludf.DUMMYFUNCTION("IMPORTXML(A100,'URLs and Paths'!$B$6)"),"4538 Rue Papineau, Montreal, H2H 1V3")</f>
        <v>4538 Rue Papineau, Montreal, H2H 1V3</v>
      </c>
      <c r="F101" s="10">
        <v>45.5331182</v>
      </c>
      <c r="G101" s="10">
        <v>-73.5754985</v>
      </c>
      <c r="H101" s="10"/>
      <c r="I101" s="36">
        <v>4.5</v>
      </c>
    </row>
    <row r="102">
      <c r="A102" s="37"/>
      <c r="B102" s="37"/>
      <c r="C102" s="37"/>
      <c r="D102" s="38"/>
      <c r="E102" s="37"/>
      <c r="F102" s="39"/>
      <c r="G102" s="39"/>
      <c r="H102" s="39"/>
      <c r="I102" s="40">
        <f>AVERAGE(Table2[Rating Value])</f>
        <v>4.77</v>
      </c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  <row r="244">
      <c r="D244" s="3"/>
    </row>
    <row r="245">
      <c r="D245" s="3"/>
    </row>
    <row r="246">
      <c r="D246" s="3"/>
    </row>
    <row r="247">
      <c r="D247" s="3"/>
    </row>
    <row r="248">
      <c r="D248" s="3"/>
    </row>
    <row r="249">
      <c r="D249" s="3"/>
    </row>
    <row r="250">
      <c r="D250" s="3"/>
    </row>
    <row r="251">
      <c r="D251" s="3"/>
    </row>
    <row r="252">
      <c r="D252" s="3"/>
    </row>
    <row r="253">
      <c r="D253" s="3"/>
    </row>
    <row r="254">
      <c r="D254" s="3"/>
    </row>
    <row r="255">
      <c r="D255" s="3"/>
    </row>
    <row r="256">
      <c r="D256" s="3"/>
    </row>
    <row r="257">
      <c r="D257" s="3"/>
    </row>
    <row r="258">
      <c r="D258" s="3"/>
    </row>
    <row r="259">
      <c r="D259" s="3"/>
    </row>
    <row r="260">
      <c r="D260" s="3"/>
    </row>
    <row r="261">
      <c r="D261" s="3"/>
    </row>
    <row r="262">
      <c r="D262" s="3"/>
    </row>
    <row r="263">
      <c r="D263" s="3"/>
    </row>
    <row r="264">
      <c r="D264" s="3"/>
    </row>
    <row r="265">
      <c r="D265" s="3"/>
    </row>
    <row r="266">
      <c r="D266" s="3"/>
    </row>
    <row r="267">
      <c r="D267" s="3"/>
    </row>
    <row r="268">
      <c r="D268" s="3"/>
    </row>
    <row r="269">
      <c r="D269" s="3"/>
    </row>
    <row r="270">
      <c r="D270" s="3"/>
    </row>
    <row r="271">
      <c r="D271" s="3"/>
    </row>
    <row r="272">
      <c r="D272" s="3"/>
    </row>
    <row r="273">
      <c r="D273" s="3"/>
    </row>
    <row r="274">
      <c r="D274" s="3"/>
    </row>
    <row r="275">
      <c r="D275" s="3"/>
    </row>
    <row r="276">
      <c r="D276" s="3"/>
    </row>
    <row r="277">
      <c r="D277" s="3"/>
    </row>
    <row r="278">
      <c r="D278" s="3"/>
    </row>
    <row r="279">
      <c r="D279" s="3"/>
    </row>
    <row r="280">
      <c r="D280" s="3"/>
    </row>
    <row r="281">
      <c r="D281" s="3"/>
    </row>
    <row r="282">
      <c r="D282" s="3"/>
    </row>
    <row r="283">
      <c r="D283" s="3"/>
    </row>
    <row r="284">
      <c r="D284" s="3"/>
    </row>
    <row r="285">
      <c r="D285" s="3"/>
    </row>
    <row r="286">
      <c r="D286" s="3"/>
    </row>
    <row r="287">
      <c r="D287" s="3"/>
    </row>
    <row r="288">
      <c r="D288" s="3"/>
    </row>
    <row r="289">
      <c r="D289" s="3"/>
    </row>
    <row r="290">
      <c r="D290" s="3"/>
    </row>
    <row r="291">
      <c r="D291" s="3"/>
    </row>
    <row r="292">
      <c r="D292" s="3"/>
    </row>
    <row r="293">
      <c r="D293" s="3"/>
    </row>
    <row r="294">
      <c r="D294" s="3"/>
    </row>
    <row r="295">
      <c r="D295" s="3"/>
    </row>
    <row r="296">
      <c r="D296" s="3"/>
    </row>
    <row r="297">
      <c r="D297" s="3"/>
    </row>
    <row r="298">
      <c r="D298" s="3"/>
    </row>
    <row r="299">
      <c r="D299" s="3"/>
    </row>
    <row r="300">
      <c r="D300" s="3"/>
    </row>
    <row r="301">
      <c r="D301" s="3"/>
    </row>
    <row r="302">
      <c r="D302" s="3"/>
    </row>
    <row r="303">
      <c r="D303" s="3"/>
    </row>
    <row r="304">
      <c r="D304" s="3"/>
    </row>
    <row r="305">
      <c r="D305" s="3"/>
    </row>
    <row r="306">
      <c r="D306" s="3"/>
    </row>
    <row r="307">
      <c r="D307" s="3"/>
    </row>
    <row r="308">
      <c r="D308" s="3"/>
    </row>
    <row r="309">
      <c r="D309" s="3"/>
    </row>
    <row r="310">
      <c r="D310" s="3"/>
    </row>
    <row r="311">
      <c r="D311" s="3"/>
    </row>
    <row r="312">
      <c r="D312" s="3"/>
    </row>
    <row r="313">
      <c r="D313" s="3"/>
    </row>
    <row r="314">
      <c r="D314" s="3"/>
    </row>
    <row r="315">
      <c r="D315" s="3"/>
    </row>
    <row r="316">
      <c r="D316" s="3"/>
    </row>
    <row r="317">
      <c r="D317" s="3"/>
    </row>
    <row r="318">
      <c r="D318" s="3"/>
    </row>
    <row r="319">
      <c r="D319" s="3"/>
    </row>
    <row r="320">
      <c r="D320" s="3"/>
    </row>
    <row r="321">
      <c r="D321" s="3"/>
    </row>
    <row r="322">
      <c r="D322" s="3"/>
    </row>
    <row r="323">
      <c r="D323" s="3"/>
    </row>
    <row r="324">
      <c r="D324" s="3"/>
    </row>
    <row r="325">
      <c r="D325" s="3"/>
    </row>
    <row r="326">
      <c r="D326" s="3"/>
    </row>
    <row r="327">
      <c r="D327" s="3"/>
    </row>
    <row r="328">
      <c r="D328" s="3"/>
    </row>
    <row r="329">
      <c r="D329" s="3"/>
    </row>
    <row r="330">
      <c r="D330" s="3"/>
    </row>
    <row r="331">
      <c r="D331" s="3"/>
    </row>
    <row r="332">
      <c r="D332" s="3"/>
    </row>
    <row r="333">
      <c r="D333" s="3"/>
    </row>
    <row r="334">
      <c r="D334" s="3"/>
    </row>
    <row r="335">
      <c r="D335" s="3"/>
    </row>
    <row r="336">
      <c r="D336" s="3"/>
    </row>
    <row r="337">
      <c r="D337" s="3"/>
    </row>
    <row r="338">
      <c r="D338" s="3"/>
    </row>
    <row r="339">
      <c r="D339" s="3"/>
    </row>
    <row r="340">
      <c r="D340" s="3"/>
    </row>
    <row r="341">
      <c r="D341" s="3"/>
    </row>
    <row r="342">
      <c r="D342" s="3"/>
    </row>
    <row r="343">
      <c r="D343" s="3"/>
    </row>
    <row r="344">
      <c r="D344" s="3"/>
    </row>
    <row r="345">
      <c r="D345" s="3"/>
    </row>
    <row r="346">
      <c r="D346" s="3"/>
    </row>
    <row r="347">
      <c r="D347" s="3"/>
    </row>
    <row r="348">
      <c r="D348" s="3"/>
    </row>
    <row r="349">
      <c r="D349" s="3"/>
    </row>
    <row r="350">
      <c r="D350" s="3"/>
    </row>
    <row r="351">
      <c r="D351" s="3"/>
    </row>
    <row r="352">
      <c r="D352" s="3"/>
    </row>
    <row r="353">
      <c r="D353" s="3"/>
    </row>
    <row r="354">
      <c r="D354" s="3"/>
    </row>
    <row r="355">
      <c r="D355" s="3"/>
    </row>
    <row r="356">
      <c r="D356" s="3"/>
    </row>
    <row r="357">
      <c r="D357" s="3"/>
    </row>
    <row r="358">
      <c r="D358" s="3"/>
    </row>
    <row r="359">
      <c r="D359" s="3"/>
    </row>
    <row r="360">
      <c r="D360" s="3"/>
    </row>
    <row r="361">
      <c r="D361" s="3"/>
    </row>
    <row r="362">
      <c r="D362" s="3"/>
    </row>
    <row r="363">
      <c r="D363" s="3"/>
    </row>
    <row r="364">
      <c r="D364" s="3"/>
    </row>
    <row r="365">
      <c r="D365" s="3"/>
    </row>
    <row r="366">
      <c r="D366" s="3"/>
    </row>
    <row r="367">
      <c r="D367" s="3"/>
    </row>
    <row r="368">
      <c r="D368" s="3"/>
    </row>
    <row r="369">
      <c r="D369" s="3"/>
    </row>
    <row r="370">
      <c r="D370" s="3"/>
    </row>
    <row r="371">
      <c r="D371" s="3"/>
    </row>
    <row r="372">
      <c r="D372" s="3"/>
    </row>
    <row r="373">
      <c r="D373" s="3"/>
    </row>
    <row r="374">
      <c r="D374" s="3"/>
    </row>
    <row r="375">
      <c r="D375" s="3"/>
    </row>
    <row r="376">
      <c r="D376" s="3"/>
    </row>
    <row r="377">
      <c r="D377" s="3"/>
    </row>
    <row r="378">
      <c r="D378" s="3"/>
    </row>
    <row r="379">
      <c r="D379" s="3"/>
    </row>
    <row r="380">
      <c r="D380" s="3"/>
    </row>
    <row r="381">
      <c r="D381" s="3"/>
    </row>
    <row r="382">
      <c r="D382" s="3"/>
    </row>
    <row r="383">
      <c r="D383" s="3"/>
    </row>
    <row r="384">
      <c r="D384" s="3"/>
    </row>
    <row r="385">
      <c r="D385" s="3"/>
    </row>
    <row r="386">
      <c r="D386" s="3"/>
    </row>
    <row r="387">
      <c r="D387" s="3"/>
    </row>
    <row r="388">
      <c r="D388" s="3"/>
    </row>
    <row r="389">
      <c r="D389" s="3"/>
    </row>
    <row r="390">
      <c r="D390" s="3"/>
    </row>
    <row r="391">
      <c r="D391" s="3"/>
    </row>
    <row r="392">
      <c r="D392" s="3"/>
    </row>
    <row r="393">
      <c r="D393" s="3"/>
    </row>
    <row r="394">
      <c r="D394" s="3"/>
    </row>
    <row r="395">
      <c r="D395" s="3"/>
    </row>
    <row r="396">
      <c r="D396" s="3"/>
    </row>
    <row r="397">
      <c r="D397" s="3"/>
    </row>
    <row r="398">
      <c r="D398" s="3"/>
    </row>
    <row r="399">
      <c r="D399" s="3"/>
    </row>
    <row r="400">
      <c r="D400" s="3"/>
    </row>
    <row r="401">
      <c r="D401" s="3"/>
    </row>
    <row r="402">
      <c r="D402" s="3"/>
    </row>
    <row r="403">
      <c r="D403" s="3"/>
    </row>
    <row r="404">
      <c r="D404" s="3"/>
    </row>
    <row r="405">
      <c r="D405" s="3"/>
    </row>
    <row r="406">
      <c r="D406" s="3"/>
    </row>
    <row r="407">
      <c r="D407" s="3"/>
    </row>
    <row r="408">
      <c r="D408" s="3"/>
    </row>
    <row r="409">
      <c r="D409" s="3"/>
    </row>
    <row r="410">
      <c r="D410" s="3"/>
    </row>
    <row r="411">
      <c r="D411" s="3"/>
    </row>
    <row r="412">
      <c r="D412" s="3"/>
    </row>
    <row r="413">
      <c r="D413" s="3"/>
    </row>
    <row r="414">
      <c r="D414" s="3"/>
    </row>
    <row r="415">
      <c r="D415" s="3"/>
    </row>
    <row r="416">
      <c r="D416" s="3"/>
    </row>
    <row r="417">
      <c r="D417" s="3"/>
    </row>
    <row r="418">
      <c r="D418" s="3"/>
    </row>
    <row r="419">
      <c r="D419" s="3"/>
    </row>
    <row r="420">
      <c r="D420" s="3"/>
    </row>
    <row r="421">
      <c r="D421" s="3"/>
    </row>
    <row r="422">
      <c r="D422" s="3"/>
    </row>
    <row r="423">
      <c r="D423" s="3"/>
    </row>
    <row r="424">
      <c r="D424" s="3"/>
    </row>
    <row r="425">
      <c r="D425" s="3"/>
    </row>
    <row r="426">
      <c r="D426" s="3"/>
    </row>
    <row r="427">
      <c r="D427" s="3"/>
    </row>
    <row r="428">
      <c r="D428" s="3"/>
    </row>
    <row r="429">
      <c r="D429" s="3"/>
    </row>
    <row r="430">
      <c r="D430" s="3"/>
    </row>
    <row r="431">
      <c r="D431" s="3"/>
    </row>
    <row r="432">
      <c r="D432" s="3"/>
    </row>
    <row r="433">
      <c r="D433" s="3"/>
    </row>
    <row r="434">
      <c r="D434" s="3"/>
    </row>
    <row r="435">
      <c r="D435" s="3"/>
    </row>
    <row r="436">
      <c r="D436" s="3"/>
    </row>
    <row r="437">
      <c r="D437" s="3"/>
    </row>
    <row r="438">
      <c r="D438" s="3"/>
    </row>
    <row r="439">
      <c r="D439" s="3"/>
    </row>
    <row r="440">
      <c r="D440" s="3"/>
    </row>
    <row r="441">
      <c r="D441" s="3"/>
    </row>
    <row r="442">
      <c r="D442" s="3"/>
    </row>
    <row r="443">
      <c r="D443" s="3"/>
    </row>
    <row r="444">
      <c r="D444" s="3"/>
    </row>
    <row r="445">
      <c r="D445" s="3"/>
    </row>
    <row r="446">
      <c r="D446" s="3"/>
    </row>
    <row r="447">
      <c r="D447" s="3"/>
    </row>
    <row r="448">
      <c r="D448" s="3"/>
    </row>
    <row r="449">
      <c r="D449" s="3"/>
    </row>
    <row r="450">
      <c r="D450" s="3"/>
    </row>
    <row r="451">
      <c r="D451" s="3"/>
    </row>
    <row r="452">
      <c r="D452" s="3"/>
    </row>
    <row r="453">
      <c r="D453" s="3"/>
    </row>
    <row r="454">
      <c r="D454" s="3"/>
    </row>
    <row r="455">
      <c r="D455" s="3"/>
    </row>
    <row r="456">
      <c r="D456" s="3"/>
    </row>
    <row r="457">
      <c r="D457" s="3"/>
    </row>
    <row r="458">
      <c r="D458" s="3"/>
    </row>
    <row r="459">
      <c r="D459" s="3"/>
    </row>
    <row r="460">
      <c r="D460" s="3"/>
    </row>
    <row r="461">
      <c r="D461" s="3"/>
    </row>
    <row r="462">
      <c r="D462" s="3"/>
    </row>
    <row r="463">
      <c r="D463" s="3"/>
    </row>
    <row r="464">
      <c r="D464" s="3"/>
    </row>
    <row r="465">
      <c r="D465" s="3"/>
    </row>
    <row r="466">
      <c r="D466" s="3"/>
    </row>
    <row r="467">
      <c r="D467" s="3"/>
    </row>
    <row r="468">
      <c r="D468" s="3"/>
    </row>
    <row r="469">
      <c r="D469" s="3"/>
    </row>
    <row r="470">
      <c r="D470" s="3"/>
    </row>
    <row r="471">
      <c r="D471" s="3"/>
    </row>
    <row r="472">
      <c r="D472" s="3"/>
    </row>
    <row r="473">
      <c r="D473" s="3"/>
    </row>
    <row r="474">
      <c r="D474" s="3"/>
    </row>
    <row r="475">
      <c r="D475" s="3"/>
    </row>
    <row r="476">
      <c r="D476" s="3"/>
    </row>
    <row r="477">
      <c r="D477" s="3"/>
    </row>
    <row r="478">
      <c r="D478" s="3"/>
    </row>
    <row r="479">
      <c r="D479" s="3"/>
    </row>
    <row r="480">
      <c r="D480" s="3"/>
    </row>
    <row r="481">
      <c r="D481" s="3"/>
    </row>
    <row r="482">
      <c r="D482" s="3"/>
    </row>
    <row r="483">
      <c r="D483" s="3"/>
    </row>
    <row r="484">
      <c r="D484" s="3"/>
    </row>
    <row r="485">
      <c r="D485" s="3"/>
    </row>
    <row r="486">
      <c r="D486" s="3"/>
    </row>
    <row r="487">
      <c r="D487" s="3"/>
    </row>
    <row r="488">
      <c r="D488" s="3"/>
    </row>
    <row r="489">
      <c r="D489" s="3"/>
    </row>
    <row r="490">
      <c r="D490" s="3"/>
    </row>
    <row r="491">
      <c r="D491" s="3"/>
    </row>
    <row r="492">
      <c r="D492" s="3"/>
    </row>
    <row r="493">
      <c r="D493" s="3"/>
    </row>
    <row r="494">
      <c r="D494" s="3"/>
    </row>
    <row r="495">
      <c r="D495" s="3"/>
    </row>
    <row r="496">
      <c r="D496" s="3"/>
    </row>
    <row r="497">
      <c r="D497" s="3"/>
    </row>
    <row r="498">
      <c r="D498" s="3"/>
    </row>
    <row r="499">
      <c r="D499" s="3"/>
    </row>
    <row r="500">
      <c r="D500" s="3"/>
    </row>
    <row r="501">
      <c r="D501" s="3"/>
    </row>
    <row r="502">
      <c r="D502" s="3"/>
    </row>
    <row r="503">
      <c r="D503" s="3"/>
    </row>
    <row r="504">
      <c r="D504" s="3"/>
    </row>
    <row r="505">
      <c r="D505" s="3"/>
    </row>
    <row r="506">
      <c r="D506" s="3"/>
    </row>
    <row r="507">
      <c r="D507" s="3"/>
    </row>
    <row r="508">
      <c r="D508" s="3"/>
    </row>
    <row r="509">
      <c r="D509" s="3"/>
    </row>
    <row r="510">
      <c r="D510" s="3"/>
    </row>
    <row r="511">
      <c r="D511" s="3"/>
    </row>
    <row r="512">
      <c r="D512" s="3"/>
    </row>
    <row r="513">
      <c r="D513" s="3"/>
    </row>
    <row r="514">
      <c r="D514" s="3"/>
    </row>
    <row r="515">
      <c r="D515" s="3"/>
    </row>
    <row r="516">
      <c r="D516" s="3"/>
    </row>
    <row r="517">
      <c r="D517" s="3"/>
    </row>
    <row r="518">
      <c r="D518" s="3"/>
    </row>
    <row r="519">
      <c r="D519" s="3"/>
    </row>
    <row r="520">
      <c r="D520" s="3"/>
    </row>
    <row r="521">
      <c r="D521" s="3"/>
    </row>
    <row r="522">
      <c r="D522" s="3"/>
    </row>
    <row r="523">
      <c r="D523" s="3"/>
    </row>
    <row r="524">
      <c r="D524" s="3"/>
    </row>
    <row r="525">
      <c r="D525" s="3"/>
    </row>
    <row r="526">
      <c r="D526" s="3"/>
    </row>
    <row r="527">
      <c r="D527" s="3"/>
    </row>
    <row r="528">
      <c r="D528" s="3"/>
    </row>
    <row r="529">
      <c r="D529" s="3"/>
    </row>
    <row r="530">
      <c r="D530" s="3"/>
    </row>
    <row r="531">
      <c r="D531" s="3"/>
    </row>
    <row r="532">
      <c r="D532" s="3"/>
    </row>
    <row r="533">
      <c r="D533" s="3"/>
    </row>
    <row r="534">
      <c r="D534" s="3"/>
    </row>
    <row r="535">
      <c r="D535" s="3"/>
    </row>
    <row r="536">
      <c r="D536" s="3"/>
    </row>
    <row r="537">
      <c r="D537" s="3"/>
    </row>
    <row r="538">
      <c r="D538" s="3"/>
    </row>
    <row r="539">
      <c r="D539" s="3"/>
    </row>
    <row r="540">
      <c r="D540" s="3"/>
    </row>
    <row r="541">
      <c r="D541" s="3"/>
    </row>
    <row r="542">
      <c r="D542" s="3"/>
    </row>
    <row r="543">
      <c r="D543" s="3"/>
    </row>
    <row r="544">
      <c r="D544" s="3"/>
    </row>
    <row r="545">
      <c r="D545" s="3"/>
    </row>
    <row r="546">
      <c r="D546" s="3"/>
    </row>
    <row r="547">
      <c r="D547" s="3"/>
    </row>
    <row r="548">
      <c r="D548" s="3"/>
    </row>
    <row r="549">
      <c r="D549" s="3"/>
    </row>
    <row r="550">
      <c r="D550" s="3"/>
    </row>
    <row r="551">
      <c r="D551" s="3"/>
    </row>
    <row r="552">
      <c r="D552" s="3"/>
    </row>
    <row r="553">
      <c r="D553" s="3"/>
    </row>
    <row r="554">
      <c r="D554" s="3"/>
    </row>
    <row r="555">
      <c r="D555" s="3"/>
    </row>
    <row r="556">
      <c r="D556" s="3"/>
    </row>
    <row r="557">
      <c r="D557" s="3"/>
    </row>
    <row r="558">
      <c r="D558" s="3"/>
    </row>
    <row r="559">
      <c r="D559" s="3"/>
    </row>
    <row r="560">
      <c r="D560" s="3"/>
    </row>
    <row r="561">
      <c r="D561" s="3"/>
    </row>
    <row r="562">
      <c r="D562" s="3"/>
    </row>
    <row r="563">
      <c r="D563" s="3"/>
    </row>
    <row r="564">
      <c r="D564" s="3"/>
    </row>
    <row r="565">
      <c r="D565" s="3"/>
    </row>
    <row r="566">
      <c r="D566" s="3"/>
    </row>
    <row r="567">
      <c r="D567" s="3"/>
    </row>
    <row r="568">
      <c r="D568" s="3"/>
    </row>
    <row r="569">
      <c r="D569" s="3"/>
    </row>
    <row r="570">
      <c r="D570" s="3"/>
    </row>
    <row r="571">
      <c r="D571" s="3"/>
    </row>
    <row r="572">
      <c r="D572" s="3"/>
    </row>
    <row r="573">
      <c r="D573" s="3"/>
    </row>
    <row r="574">
      <c r="D574" s="3"/>
    </row>
    <row r="575">
      <c r="D575" s="3"/>
    </row>
    <row r="576">
      <c r="D576" s="3"/>
    </row>
    <row r="577">
      <c r="D577" s="3"/>
    </row>
    <row r="578">
      <c r="D578" s="3"/>
    </row>
    <row r="579">
      <c r="D579" s="3"/>
    </row>
    <row r="580">
      <c r="D580" s="3"/>
    </row>
    <row r="581">
      <c r="D581" s="3"/>
    </row>
    <row r="582">
      <c r="D582" s="3"/>
    </row>
    <row r="583">
      <c r="D583" s="3"/>
    </row>
    <row r="584">
      <c r="D584" s="3"/>
    </row>
    <row r="585">
      <c r="D585" s="3"/>
    </row>
    <row r="586">
      <c r="D586" s="3"/>
    </row>
    <row r="587">
      <c r="D587" s="3"/>
    </row>
    <row r="588">
      <c r="D588" s="3"/>
    </row>
    <row r="589">
      <c r="D589" s="3"/>
    </row>
    <row r="590">
      <c r="D590" s="3"/>
    </row>
    <row r="591">
      <c r="D591" s="3"/>
    </row>
    <row r="592">
      <c r="D592" s="3"/>
    </row>
    <row r="593">
      <c r="D593" s="3"/>
    </row>
    <row r="594">
      <c r="D594" s="3"/>
    </row>
    <row r="595">
      <c r="D595" s="3"/>
    </row>
    <row r="596">
      <c r="D596" s="3"/>
    </row>
    <row r="597">
      <c r="D597" s="3"/>
    </row>
    <row r="598">
      <c r="D598" s="3"/>
    </row>
    <row r="599">
      <c r="D599" s="3"/>
    </row>
    <row r="600">
      <c r="D600" s="3"/>
    </row>
    <row r="601">
      <c r="D601" s="3"/>
    </row>
    <row r="602">
      <c r="D602" s="3"/>
    </row>
    <row r="603">
      <c r="D603" s="3"/>
    </row>
    <row r="604">
      <c r="D604" s="3"/>
    </row>
    <row r="605">
      <c r="D605" s="3"/>
    </row>
    <row r="606">
      <c r="D606" s="3"/>
    </row>
    <row r="607">
      <c r="D607" s="3"/>
    </row>
    <row r="608">
      <c r="D608" s="3"/>
    </row>
    <row r="609">
      <c r="D609" s="3"/>
    </row>
    <row r="610">
      <c r="D610" s="3"/>
    </row>
    <row r="611">
      <c r="D611" s="3"/>
    </row>
    <row r="612">
      <c r="D612" s="3"/>
    </row>
    <row r="613">
      <c r="D613" s="3"/>
    </row>
    <row r="614">
      <c r="D614" s="3"/>
    </row>
    <row r="615">
      <c r="D615" s="3"/>
    </row>
    <row r="616">
      <c r="D616" s="3"/>
    </row>
    <row r="617">
      <c r="D617" s="3"/>
    </row>
    <row r="618">
      <c r="D618" s="3"/>
    </row>
    <row r="619">
      <c r="D619" s="3"/>
    </row>
    <row r="620">
      <c r="D620" s="3"/>
    </row>
    <row r="621">
      <c r="D621" s="3"/>
    </row>
    <row r="622">
      <c r="D622" s="3"/>
    </row>
    <row r="623">
      <c r="D623" s="3"/>
    </row>
    <row r="624">
      <c r="D624" s="3"/>
    </row>
    <row r="625">
      <c r="D625" s="3"/>
    </row>
    <row r="626">
      <c r="D626" s="3"/>
    </row>
    <row r="627">
      <c r="D627" s="3"/>
    </row>
    <row r="628">
      <c r="D628" s="3"/>
    </row>
    <row r="629">
      <c r="D629" s="3"/>
    </row>
    <row r="630">
      <c r="D630" s="3"/>
    </row>
    <row r="631">
      <c r="D631" s="3"/>
    </row>
    <row r="632">
      <c r="D632" s="3"/>
    </row>
    <row r="633">
      <c r="D633" s="3"/>
    </row>
    <row r="634">
      <c r="D634" s="3"/>
    </row>
    <row r="635">
      <c r="D635" s="3"/>
    </row>
    <row r="636">
      <c r="D636" s="3"/>
    </row>
    <row r="637">
      <c r="D637" s="3"/>
    </row>
    <row r="638">
      <c r="D638" s="3"/>
    </row>
    <row r="639">
      <c r="D639" s="3"/>
    </row>
    <row r="640">
      <c r="D640" s="3"/>
    </row>
    <row r="641">
      <c r="D641" s="3"/>
    </row>
    <row r="642">
      <c r="D642" s="3"/>
    </row>
    <row r="643">
      <c r="D643" s="3"/>
    </row>
    <row r="644">
      <c r="D644" s="3"/>
    </row>
    <row r="645">
      <c r="D645" s="3"/>
    </row>
    <row r="646">
      <c r="D646" s="3"/>
    </row>
    <row r="647">
      <c r="D647" s="3"/>
    </row>
    <row r="648">
      <c r="D648" s="3"/>
    </row>
    <row r="649">
      <c r="D649" s="3"/>
    </row>
    <row r="650">
      <c r="D650" s="3"/>
    </row>
    <row r="651">
      <c r="D651" s="3"/>
    </row>
    <row r="652">
      <c r="D652" s="3"/>
    </row>
    <row r="653">
      <c r="D653" s="3"/>
    </row>
    <row r="654">
      <c r="D654" s="3"/>
    </row>
    <row r="655">
      <c r="D655" s="3"/>
    </row>
    <row r="656">
      <c r="D656" s="3"/>
    </row>
    <row r="657">
      <c r="D657" s="3"/>
    </row>
    <row r="658">
      <c r="D658" s="3"/>
    </row>
    <row r="659">
      <c r="D659" s="3"/>
    </row>
    <row r="660">
      <c r="D660" s="3"/>
    </row>
    <row r="661">
      <c r="D661" s="3"/>
    </row>
    <row r="662">
      <c r="D662" s="3"/>
    </row>
    <row r="663">
      <c r="D663" s="3"/>
    </row>
    <row r="664">
      <c r="D664" s="3"/>
    </row>
    <row r="665">
      <c r="D665" s="3"/>
    </row>
    <row r="666">
      <c r="D666" s="3"/>
    </row>
    <row r="667">
      <c r="D667" s="3"/>
    </row>
    <row r="668">
      <c r="D668" s="3"/>
    </row>
    <row r="669">
      <c r="D669" s="3"/>
    </row>
    <row r="670">
      <c r="D670" s="3"/>
    </row>
    <row r="671">
      <c r="D671" s="3"/>
    </row>
    <row r="672">
      <c r="D672" s="3"/>
    </row>
    <row r="673">
      <c r="D673" s="3"/>
    </row>
    <row r="674">
      <c r="D674" s="3"/>
    </row>
    <row r="675">
      <c r="D675" s="3"/>
    </row>
    <row r="676">
      <c r="D676" s="3"/>
    </row>
    <row r="677">
      <c r="D677" s="3"/>
    </row>
    <row r="678">
      <c r="D678" s="3"/>
    </row>
    <row r="679">
      <c r="D679" s="3"/>
    </row>
    <row r="680">
      <c r="D680" s="3"/>
    </row>
    <row r="681">
      <c r="D681" s="3"/>
    </row>
    <row r="682">
      <c r="D682" s="3"/>
    </row>
    <row r="683">
      <c r="D683" s="3"/>
    </row>
    <row r="684">
      <c r="D684" s="3"/>
    </row>
    <row r="685">
      <c r="D685" s="3"/>
    </row>
    <row r="686">
      <c r="D686" s="3"/>
    </row>
    <row r="687">
      <c r="D687" s="3"/>
    </row>
    <row r="688">
      <c r="D688" s="3"/>
    </row>
    <row r="689">
      <c r="D689" s="3"/>
    </row>
    <row r="690">
      <c r="D690" s="3"/>
    </row>
    <row r="691">
      <c r="D691" s="3"/>
    </row>
    <row r="692">
      <c r="D692" s="3"/>
    </row>
    <row r="693">
      <c r="D693" s="3"/>
    </row>
    <row r="694">
      <c r="D694" s="3"/>
    </row>
    <row r="695">
      <c r="D695" s="3"/>
    </row>
    <row r="696">
      <c r="D696" s="3"/>
    </row>
    <row r="697">
      <c r="D697" s="3"/>
    </row>
    <row r="698">
      <c r="D698" s="3"/>
    </row>
    <row r="699">
      <c r="D699" s="3"/>
    </row>
    <row r="700">
      <c r="D700" s="3"/>
    </row>
    <row r="701">
      <c r="D701" s="3"/>
    </row>
    <row r="702">
      <c r="D702" s="3"/>
    </row>
    <row r="703">
      <c r="D703" s="3"/>
    </row>
    <row r="704">
      <c r="D704" s="3"/>
    </row>
    <row r="705">
      <c r="D705" s="3"/>
    </row>
    <row r="706">
      <c r="D706" s="3"/>
    </row>
    <row r="707">
      <c r="D707" s="3"/>
    </row>
    <row r="708">
      <c r="D708" s="3"/>
    </row>
    <row r="709">
      <c r="D709" s="3"/>
    </row>
    <row r="710">
      <c r="D710" s="3"/>
    </row>
    <row r="711">
      <c r="D711" s="3"/>
    </row>
    <row r="712">
      <c r="D712" s="3"/>
    </row>
    <row r="713">
      <c r="D713" s="3"/>
    </row>
    <row r="714">
      <c r="D714" s="3"/>
    </row>
    <row r="715">
      <c r="D715" s="3"/>
    </row>
    <row r="716">
      <c r="D716" s="3"/>
    </row>
    <row r="717">
      <c r="D717" s="3"/>
    </row>
    <row r="718">
      <c r="D718" s="3"/>
    </row>
    <row r="719">
      <c r="D719" s="3"/>
    </row>
    <row r="720">
      <c r="D720" s="3"/>
    </row>
    <row r="721">
      <c r="D721" s="3"/>
    </row>
    <row r="722">
      <c r="D722" s="3"/>
    </row>
    <row r="723">
      <c r="D723" s="3"/>
    </row>
    <row r="724">
      <c r="D724" s="3"/>
    </row>
    <row r="725">
      <c r="D725" s="3"/>
    </row>
    <row r="726">
      <c r="D726" s="3"/>
    </row>
    <row r="727">
      <c r="D727" s="3"/>
    </row>
    <row r="728">
      <c r="D728" s="3"/>
    </row>
    <row r="729">
      <c r="D729" s="3"/>
    </row>
    <row r="730">
      <c r="D730" s="3"/>
    </row>
    <row r="731">
      <c r="D731" s="3"/>
    </row>
    <row r="732">
      <c r="D732" s="3"/>
    </row>
    <row r="733">
      <c r="D733" s="3"/>
    </row>
    <row r="734">
      <c r="D734" s="3"/>
    </row>
    <row r="735">
      <c r="D735" s="3"/>
    </row>
    <row r="736">
      <c r="D736" s="3"/>
    </row>
    <row r="737">
      <c r="D737" s="3"/>
    </row>
    <row r="738">
      <c r="D738" s="3"/>
    </row>
    <row r="739">
      <c r="D739" s="3"/>
    </row>
    <row r="740">
      <c r="D740" s="3"/>
    </row>
    <row r="741">
      <c r="D741" s="3"/>
    </row>
    <row r="742">
      <c r="D742" s="3"/>
    </row>
    <row r="743">
      <c r="D743" s="3"/>
    </row>
    <row r="744">
      <c r="D744" s="3"/>
    </row>
    <row r="745">
      <c r="D745" s="3"/>
    </row>
    <row r="746">
      <c r="D746" s="3"/>
    </row>
    <row r="747">
      <c r="D747" s="3"/>
    </row>
    <row r="748">
      <c r="D748" s="3"/>
    </row>
    <row r="749">
      <c r="D749" s="3"/>
    </row>
    <row r="750">
      <c r="D750" s="3"/>
    </row>
    <row r="751">
      <c r="D751" s="3"/>
    </row>
    <row r="752">
      <c r="D752" s="3"/>
    </row>
    <row r="753">
      <c r="D753" s="3"/>
    </row>
    <row r="754">
      <c r="D754" s="3"/>
    </row>
    <row r="755">
      <c r="D755" s="3"/>
    </row>
    <row r="756">
      <c r="D756" s="3"/>
    </row>
    <row r="757">
      <c r="D757" s="3"/>
    </row>
    <row r="758">
      <c r="D758" s="3"/>
    </row>
    <row r="759">
      <c r="D759" s="3"/>
    </row>
    <row r="760">
      <c r="D760" s="3"/>
    </row>
    <row r="761">
      <c r="D761" s="3"/>
    </row>
    <row r="762">
      <c r="D762" s="3"/>
    </row>
    <row r="763">
      <c r="D763" s="3"/>
    </row>
    <row r="764">
      <c r="D764" s="3"/>
    </row>
    <row r="765">
      <c r="D765" s="3"/>
    </row>
    <row r="766">
      <c r="D766" s="3"/>
    </row>
    <row r="767">
      <c r="D767" s="3"/>
    </row>
    <row r="768">
      <c r="D768" s="3"/>
    </row>
    <row r="769">
      <c r="D769" s="3"/>
    </row>
    <row r="770">
      <c r="D770" s="3"/>
    </row>
    <row r="771">
      <c r="D771" s="3"/>
    </row>
    <row r="772">
      <c r="D772" s="3"/>
    </row>
    <row r="773">
      <c r="D773" s="3"/>
    </row>
    <row r="774">
      <c r="D774" s="3"/>
    </row>
    <row r="775">
      <c r="D775" s="3"/>
    </row>
    <row r="776">
      <c r="D776" s="3"/>
    </row>
    <row r="777">
      <c r="D777" s="3"/>
    </row>
    <row r="778">
      <c r="D778" s="3"/>
    </row>
    <row r="779">
      <c r="D779" s="3"/>
    </row>
    <row r="780">
      <c r="D780" s="3"/>
    </row>
    <row r="781">
      <c r="D781" s="3"/>
    </row>
    <row r="782">
      <c r="D782" s="3"/>
    </row>
    <row r="783">
      <c r="D783" s="3"/>
    </row>
    <row r="784">
      <c r="D784" s="3"/>
    </row>
    <row r="785">
      <c r="D785" s="3"/>
    </row>
    <row r="786">
      <c r="D786" s="3"/>
    </row>
    <row r="787">
      <c r="D787" s="3"/>
    </row>
    <row r="788">
      <c r="D788" s="3"/>
    </row>
    <row r="789">
      <c r="D789" s="3"/>
    </row>
    <row r="790">
      <c r="D790" s="3"/>
    </row>
    <row r="791">
      <c r="D791" s="3"/>
    </row>
    <row r="792">
      <c r="D792" s="3"/>
    </row>
    <row r="793">
      <c r="D793" s="3"/>
    </row>
    <row r="794">
      <c r="D794" s="3"/>
    </row>
    <row r="795">
      <c r="D795" s="3"/>
    </row>
    <row r="796">
      <c r="D796" s="3"/>
    </row>
    <row r="797">
      <c r="D797" s="3"/>
    </row>
    <row r="798">
      <c r="D798" s="3"/>
    </row>
    <row r="799">
      <c r="D799" s="3"/>
    </row>
    <row r="800">
      <c r="D800" s="3"/>
    </row>
    <row r="801">
      <c r="D801" s="3"/>
    </row>
    <row r="802">
      <c r="D802" s="3"/>
    </row>
    <row r="803">
      <c r="D803" s="3"/>
    </row>
    <row r="804">
      <c r="D804" s="3"/>
    </row>
    <row r="805">
      <c r="D805" s="3"/>
    </row>
    <row r="806">
      <c r="D806" s="3"/>
    </row>
    <row r="807">
      <c r="D807" s="3"/>
    </row>
    <row r="808">
      <c r="D808" s="3"/>
    </row>
    <row r="809">
      <c r="D809" s="3"/>
    </row>
    <row r="810">
      <c r="D810" s="3"/>
    </row>
    <row r="811">
      <c r="D811" s="3"/>
    </row>
    <row r="812">
      <c r="D812" s="3"/>
    </row>
    <row r="813">
      <c r="D813" s="3"/>
    </row>
    <row r="814">
      <c r="D814" s="3"/>
    </row>
    <row r="815">
      <c r="D815" s="3"/>
    </row>
    <row r="816">
      <c r="D816" s="3"/>
    </row>
    <row r="817">
      <c r="D817" s="3"/>
    </row>
    <row r="818">
      <c r="D818" s="3"/>
    </row>
    <row r="819">
      <c r="D819" s="3"/>
    </row>
    <row r="820">
      <c r="D820" s="3"/>
    </row>
    <row r="821">
      <c r="D821" s="3"/>
    </row>
    <row r="822">
      <c r="D822" s="3"/>
    </row>
    <row r="823">
      <c r="D823" s="3"/>
    </row>
    <row r="824">
      <c r="D824" s="3"/>
    </row>
    <row r="825">
      <c r="D825" s="3"/>
    </row>
    <row r="826">
      <c r="D826" s="3"/>
    </row>
    <row r="827">
      <c r="D827" s="3"/>
    </row>
    <row r="828">
      <c r="D828" s="3"/>
    </row>
    <row r="829">
      <c r="D829" s="3"/>
    </row>
    <row r="830">
      <c r="D830" s="3"/>
    </row>
    <row r="831">
      <c r="D831" s="3"/>
    </row>
    <row r="832">
      <c r="D832" s="3"/>
    </row>
    <row r="833">
      <c r="D833" s="3"/>
    </row>
    <row r="834">
      <c r="D834" s="3"/>
    </row>
    <row r="835">
      <c r="D835" s="3"/>
    </row>
    <row r="836">
      <c r="D836" s="3"/>
    </row>
    <row r="837">
      <c r="D837" s="3"/>
    </row>
    <row r="838">
      <c r="D838" s="3"/>
    </row>
    <row r="839">
      <c r="D839" s="3"/>
    </row>
    <row r="840">
      <c r="D840" s="3"/>
    </row>
    <row r="841">
      <c r="D841" s="3"/>
    </row>
    <row r="842">
      <c r="D842" s="3"/>
    </row>
    <row r="843">
      <c r="D843" s="3"/>
    </row>
    <row r="844">
      <c r="D844" s="3"/>
    </row>
    <row r="845">
      <c r="D845" s="3"/>
    </row>
    <row r="846">
      <c r="D846" s="3"/>
    </row>
    <row r="847">
      <c r="D847" s="3"/>
    </row>
    <row r="848">
      <c r="D848" s="3"/>
    </row>
    <row r="849">
      <c r="D849" s="3"/>
    </row>
    <row r="850">
      <c r="D850" s="3"/>
    </row>
    <row r="851">
      <c r="D851" s="3"/>
    </row>
    <row r="852">
      <c r="D852" s="3"/>
    </row>
    <row r="853">
      <c r="D853" s="3"/>
    </row>
    <row r="854">
      <c r="D854" s="3"/>
    </row>
    <row r="855">
      <c r="D855" s="3"/>
    </row>
    <row r="856">
      <c r="D856" s="3"/>
    </row>
    <row r="857">
      <c r="D857" s="3"/>
    </row>
    <row r="858">
      <c r="D858" s="3"/>
    </row>
    <row r="859">
      <c r="D859" s="3"/>
    </row>
    <row r="860">
      <c r="D860" s="3"/>
    </row>
    <row r="861">
      <c r="D861" s="3"/>
    </row>
    <row r="862">
      <c r="D862" s="3"/>
    </row>
    <row r="863">
      <c r="D863" s="3"/>
    </row>
    <row r="864">
      <c r="D864" s="3"/>
    </row>
    <row r="865">
      <c r="D865" s="3"/>
    </row>
    <row r="866">
      <c r="D866" s="3"/>
    </row>
    <row r="867">
      <c r="D867" s="3"/>
    </row>
    <row r="868">
      <c r="D868" s="3"/>
    </row>
    <row r="869">
      <c r="D869" s="3"/>
    </row>
    <row r="870">
      <c r="D870" s="3"/>
    </row>
    <row r="871">
      <c r="D871" s="3"/>
    </row>
    <row r="872">
      <c r="D872" s="3"/>
    </row>
    <row r="873">
      <c r="D873" s="3"/>
    </row>
    <row r="874">
      <c r="D874" s="3"/>
    </row>
    <row r="875">
      <c r="D875" s="3"/>
    </row>
    <row r="876">
      <c r="D876" s="3"/>
    </row>
    <row r="877">
      <c r="D877" s="3"/>
    </row>
    <row r="878">
      <c r="D878" s="3"/>
    </row>
    <row r="879">
      <c r="D879" s="3"/>
    </row>
    <row r="880">
      <c r="D880" s="3"/>
    </row>
    <row r="881">
      <c r="D881" s="3"/>
    </row>
    <row r="882">
      <c r="D882" s="3"/>
    </row>
    <row r="883">
      <c r="D883" s="3"/>
    </row>
    <row r="884">
      <c r="D884" s="3"/>
    </row>
    <row r="885">
      <c r="D885" s="3"/>
    </row>
    <row r="886">
      <c r="D886" s="3"/>
    </row>
    <row r="887">
      <c r="D887" s="3"/>
    </row>
    <row r="888">
      <c r="D888" s="3"/>
    </row>
    <row r="889">
      <c r="D889" s="3"/>
    </row>
    <row r="890">
      <c r="D890" s="3"/>
    </row>
    <row r="891">
      <c r="D891" s="3"/>
    </row>
    <row r="892">
      <c r="D892" s="3"/>
    </row>
    <row r="893">
      <c r="D893" s="3"/>
    </row>
    <row r="894">
      <c r="D894" s="3"/>
    </row>
    <row r="895">
      <c r="D895" s="3"/>
    </row>
    <row r="896">
      <c r="D896" s="3"/>
    </row>
    <row r="897">
      <c r="D897" s="3"/>
    </row>
    <row r="898">
      <c r="D898" s="3"/>
    </row>
    <row r="899">
      <c r="D899" s="3"/>
    </row>
    <row r="900">
      <c r="D900" s="3"/>
    </row>
    <row r="901">
      <c r="D901" s="3"/>
    </row>
    <row r="902">
      <c r="D902" s="3"/>
    </row>
    <row r="903">
      <c r="D903" s="3"/>
    </row>
    <row r="904">
      <c r="D904" s="3"/>
    </row>
    <row r="905">
      <c r="D905" s="3"/>
    </row>
    <row r="906">
      <c r="D906" s="3"/>
    </row>
    <row r="907">
      <c r="D907" s="3"/>
    </row>
    <row r="908">
      <c r="D908" s="3"/>
    </row>
    <row r="909">
      <c r="D909" s="3"/>
    </row>
    <row r="910">
      <c r="D910" s="3"/>
    </row>
    <row r="911">
      <c r="D911" s="3"/>
    </row>
    <row r="912">
      <c r="D912" s="3"/>
    </row>
    <row r="913">
      <c r="D913" s="3"/>
    </row>
    <row r="914">
      <c r="D914" s="3"/>
    </row>
    <row r="915">
      <c r="D915" s="3"/>
    </row>
    <row r="916">
      <c r="D916" s="3"/>
    </row>
    <row r="917">
      <c r="D917" s="3"/>
    </row>
    <row r="918">
      <c r="D918" s="3"/>
    </row>
    <row r="919">
      <c r="D919" s="3"/>
    </row>
    <row r="920">
      <c r="D920" s="3"/>
    </row>
    <row r="921">
      <c r="D921" s="3"/>
    </row>
    <row r="922">
      <c r="D922" s="3"/>
    </row>
    <row r="923">
      <c r="D923" s="3"/>
    </row>
    <row r="924">
      <c r="D924" s="3"/>
    </row>
    <row r="925">
      <c r="D925" s="3"/>
    </row>
    <row r="926">
      <c r="D926" s="3"/>
    </row>
    <row r="927">
      <c r="D927" s="3"/>
    </row>
    <row r="928">
      <c r="D928" s="3"/>
    </row>
    <row r="929">
      <c r="D929" s="3"/>
    </row>
    <row r="930">
      <c r="D930" s="3"/>
    </row>
    <row r="931">
      <c r="D931" s="3"/>
    </row>
    <row r="932">
      <c r="D932" s="3"/>
    </row>
    <row r="933">
      <c r="D933" s="3"/>
    </row>
    <row r="934">
      <c r="D934" s="3"/>
    </row>
    <row r="935">
      <c r="D935" s="3"/>
    </row>
    <row r="936">
      <c r="D936" s="3"/>
    </row>
    <row r="937">
      <c r="D937" s="3"/>
    </row>
    <row r="938">
      <c r="D938" s="3"/>
    </row>
    <row r="939">
      <c r="D939" s="3"/>
    </row>
    <row r="940">
      <c r="D940" s="3"/>
    </row>
    <row r="941">
      <c r="D941" s="3"/>
    </row>
    <row r="942">
      <c r="D942" s="3"/>
    </row>
    <row r="943">
      <c r="D943" s="3"/>
    </row>
    <row r="944">
      <c r="D944" s="3"/>
    </row>
    <row r="945">
      <c r="D945" s="3"/>
    </row>
    <row r="946">
      <c r="D946" s="3"/>
    </row>
    <row r="947">
      <c r="D947" s="3"/>
    </row>
    <row r="948">
      <c r="D948" s="3"/>
    </row>
    <row r="949">
      <c r="D949" s="3"/>
    </row>
    <row r="950">
      <c r="D950" s="3"/>
    </row>
    <row r="951">
      <c r="D951" s="3"/>
    </row>
    <row r="952">
      <c r="D952" s="3"/>
    </row>
    <row r="953">
      <c r="D953" s="3"/>
    </row>
    <row r="954">
      <c r="D954" s="3"/>
    </row>
    <row r="955">
      <c r="D955" s="3"/>
    </row>
    <row r="956">
      <c r="D956" s="3"/>
    </row>
    <row r="957">
      <c r="D957" s="3"/>
    </row>
    <row r="958">
      <c r="D958" s="3"/>
    </row>
    <row r="959">
      <c r="D959" s="3"/>
    </row>
    <row r="960">
      <c r="D960" s="3"/>
    </row>
    <row r="961">
      <c r="D961" s="3"/>
    </row>
    <row r="962">
      <c r="D962" s="3"/>
    </row>
    <row r="963">
      <c r="D963" s="3"/>
    </row>
    <row r="964">
      <c r="D964" s="3"/>
    </row>
    <row r="965">
      <c r="D965" s="3"/>
    </row>
    <row r="966">
      <c r="D966" s="3"/>
    </row>
    <row r="967">
      <c r="D967" s="3"/>
    </row>
    <row r="968">
      <c r="D968" s="3"/>
    </row>
    <row r="969">
      <c r="D969" s="3"/>
    </row>
    <row r="970">
      <c r="D970" s="3"/>
    </row>
    <row r="971">
      <c r="D971" s="3"/>
    </row>
    <row r="972">
      <c r="D972" s="3"/>
    </row>
    <row r="973">
      <c r="D973" s="3"/>
    </row>
    <row r="974">
      <c r="D974" s="3"/>
    </row>
    <row r="975">
      <c r="D975" s="3"/>
    </row>
    <row r="976">
      <c r="D976" s="3"/>
    </row>
    <row r="977">
      <c r="D977" s="3"/>
    </row>
    <row r="978">
      <c r="D978" s="3"/>
    </row>
    <row r="979">
      <c r="D979" s="3"/>
    </row>
    <row r="980">
      <c r="D980" s="3"/>
    </row>
    <row r="981">
      <c r="D981" s="3"/>
    </row>
    <row r="982">
      <c r="D982" s="3"/>
    </row>
    <row r="983">
      <c r="D983" s="3"/>
    </row>
    <row r="984">
      <c r="D984" s="3"/>
    </row>
    <row r="985">
      <c r="D985" s="3"/>
    </row>
    <row r="986">
      <c r="D986" s="3"/>
    </row>
    <row r="987">
      <c r="D987" s="3"/>
    </row>
    <row r="988">
      <c r="D988" s="3"/>
    </row>
    <row r="989">
      <c r="D989" s="3"/>
    </row>
    <row r="990">
      <c r="D990" s="3"/>
    </row>
    <row r="991">
      <c r="D991" s="3"/>
    </row>
    <row r="992">
      <c r="D992" s="3"/>
    </row>
    <row r="993">
      <c r="D993" s="3"/>
    </row>
    <row r="994">
      <c r="D994" s="3"/>
    </row>
    <row r="995">
      <c r="D995" s="3"/>
    </row>
    <row r="996">
      <c r="D996" s="3"/>
    </row>
    <row r="997">
      <c r="D997" s="3"/>
    </row>
    <row r="998">
      <c r="D998" s="3"/>
    </row>
    <row r="999">
      <c r="D999" s="3"/>
    </row>
    <row r="1000">
      <c r="D1000" s="3"/>
    </row>
    <row r="1001">
      <c r="D1001" s="3"/>
    </row>
  </sheetData>
  <hyperlinks>
    <hyperlink r:id="rId1" ref="A2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206</v>
      </c>
      <c r="B1" s="23" t="s">
        <v>207</v>
      </c>
      <c r="C1" s="23" t="s">
        <v>208</v>
      </c>
      <c r="D1" s="11" t="s">
        <v>209</v>
      </c>
      <c r="E1" s="23" t="s">
        <v>210</v>
      </c>
      <c r="F1" s="23" t="s">
        <v>211</v>
      </c>
      <c r="G1" s="23" t="s">
        <v>212</v>
      </c>
      <c r="H1" s="42" t="s">
        <v>213</v>
      </c>
    </row>
    <row r="2">
      <c r="A2" s="29" t="s">
        <v>51</v>
      </c>
      <c r="B2" s="29" t="s">
        <v>52</v>
      </c>
      <c r="C2" s="29">
        <v>31.25</v>
      </c>
      <c r="D2" s="3" t="s">
        <v>53</v>
      </c>
      <c r="E2" s="29" t="s">
        <v>54</v>
      </c>
      <c r="F2" s="23">
        <v>45.5244376</v>
      </c>
      <c r="G2" s="23">
        <v>-73.5963781</v>
      </c>
      <c r="H2" s="43">
        <v>4.5</v>
      </c>
    </row>
    <row r="3">
      <c r="A3" s="29" t="s">
        <v>56</v>
      </c>
      <c r="B3" s="29" t="s">
        <v>57</v>
      </c>
      <c r="C3" s="29">
        <v>25.0</v>
      </c>
      <c r="D3" s="3" t="s">
        <v>58</v>
      </c>
      <c r="E3" s="29" t="s">
        <v>59</v>
      </c>
      <c r="F3" s="23">
        <v>45.5262556</v>
      </c>
      <c r="G3" s="23">
        <v>-73.6029853</v>
      </c>
      <c r="H3" s="43">
        <v>4.5</v>
      </c>
    </row>
    <row r="4">
      <c r="A4" s="29" t="s">
        <v>61</v>
      </c>
      <c r="B4" s="29" t="s">
        <v>52</v>
      </c>
      <c r="C4" s="29">
        <v>31.25</v>
      </c>
      <c r="D4" s="3" t="s">
        <v>58</v>
      </c>
      <c r="E4" s="29" t="s">
        <v>62</v>
      </c>
      <c r="F4" s="23">
        <v>45.5208464</v>
      </c>
      <c r="G4" s="23">
        <v>-73.5755691</v>
      </c>
      <c r="H4" s="43">
        <v>5.0</v>
      </c>
    </row>
    <row r="5">
      <c r="A5" s="29" t="s">
        <v>64</v>
      </c>
      <c r="B5" s="29" t="s">
        <v>65</v>
      </c>
      <c r="C5" s="29">
        <v>17.5</v>
      </c>
      <c r="D5" s="3" t="s">
        <v>58</v>
      </c>
      <c r="E5" s="29" t="s">
        <v>66</v>
      </c>
      <c r="F5" s="23">
        <v>45.5218924</v>
      </c>
      <c r="G5" s="23">
        <v>-73.5702113999999</v>
      </c>
      <c r="H5" s="43">
        <v>5.0</v>
      </c>
    </row>
    <row r="6">
      <c r="A6" s="29" t="s">
        <v>68</v>
      </c>
      <c r="B6" s="29" t="s">
        <v>69</v>
      </c>
      <c r="C6" s="29">
        <v>10.0</v>
      </c>
      <c r="D6" s="3" t="s">
        <v>53</v>
      </c>
      <c r="E6" s="29" t="s">
        <v>70</v>
      </c>
      <c r="F6" s="23">
        <v>45.5226202</v>
      </c>
      <c r="G6" s="23">
        <v>-73.5958423</v>
      </c>
      <c r="H6" s="43">
        <v>4.5</v>
      </c>
    </row>
    <row r="7">
      <c r="A7" s="29" t="s">
        <v>72</v>
      </c>
      <c r="B7" s="29" t="s">
        <v>57</v>
      </c>
      <c r="C7" s="29">
        <v>25.0</v>
      </c>
      <c r="D7" s="3" t="s">
        <v>73</v>
      </c>
      <c r="E7" s="29" t="s">
        <v>74</v>
      </c>
      <c r="F7" s="23">
        <v>45.530606</v>
      </c>
      <c r="G7" s="23">
        <v>-73.5770134999999</v>
      </c>
      <c r="H7" s="43">
        <v>5.0</v>
      </c>
    </row>
    <row r="8">
      <c r="A8" s="29" t="s">
        <v>76</v>
      </c>
      <c r="B8" s="29" t="s">
        <v>57</v>
      </c>
      <c r="C8" s="29">
        <v>25.0</v>
      </c>
      <c r="D8" s="3" t="s">
        <v>53</v>
      </c>
      <c r="E8" s="29" t="s">
        <v>77</v>
      </c>
      <c r="F8" s="23">
        <v>45.5213708</v>
      </c>
      <c r="G8" s="23">
        <v>-73.5751492999999</v>
      </c>
      <c r="H8" s="43">
        <v>4.5</v>
      </c>
    </row>
    <row r="9">
      <c r="A9" s="29" t="s">
        <v>79</v>
      </c>
      <c r="B9" s="29" t="s">
        <v>65</v>
      </c>
      <c r="C9" s="29">
        <v>17.5</v>
      </c>
      <c r="D9" s="3" t="s">
        <v>53</v>
      </c>
      <c r="E9" s="29" t="s">
        <v>80</v>
      </c>
      <c r="F9" s="23">
        <v>45.5267457</v>
      </c>
      <c r="G9" s="23">
        <v>-73.5886482</v>
      </c>
      <c r="H9" s="43">
        <v>4.5</v>
      </c>
    </row>
    <row r="10">
      <c r="A10" s="29" t="s">
        <v>82</v>
      </c>
      <c r="B10" s="29" t="s">
        <v>69</v>
      </c>
      <c r="C10" s="29">
        <v>10.0</v>
      </c>
      <c r="D10" s="3" t="s">
        <v>73</v>
      </c>
      <c r="E10" s="29" t="s">
        <v>83</v>
      </c>
      <c r="F10" s="23">
        <v>45.5204652</v>
      </c>
      <c r="G10" s="23">
        <v>-73.5862691</v>
      </c>
      <c r="H10" s="43">
        <v>5.0</v>
      </c>
    </row>
    <row r="11">
      <c r="A11" s="29" t="s">
        <v>85</v>
      </c>
      <c r="B11" s="29" t="s">
        <v>69</v>
      </c>
      <c r="C11" s="29">
        <v>10.0</v>
      </c>
      <c r="D11" s="3" t="s">
        <v>58</v>
      </c>
      <c r="E11" s="29" t="s">
        <v>86</v>
      </c>
      <c r="F11" s="23">
        <v>45.5241973</v>
      </c>
      <c r="G11" s="23">
        <v>-73.5839931</v>
      </c>
      <c r="H11" s="43">
        <v>5.0</v>
      </c>
    </row>
    <row r="12">
      <c r="A12" s="29" t="s">
        <v>88</v>
      </c>
      <c r="B12" s="29" t="s">
        <v>52</v>
      </c>
      <c r="C12" s="29">
        <v>31.25</v>
      </c>
      <c r="D12" s="3"/>
      <c r="E12" s="29" t="s">
        <v>89</v>
      </c>
      <c r="F12" s="23">
        <v>45.5249484</v>
      </c>
      <c r="G12" s="23">
        <v>-73.5973896</v>
      </c>
      <c r="H12" s="43">
        <v>5.0</v>
      </c>
    </row>
    <row r="13">
      <c r="A13" s="29" t="s">
        <v>91</v>
      </c>
      <c r="B13" s="29" t="s">
        <v>69</v>
      </c>
      <c r="C13" s="29">
        <v>10.0</v>
      </c>
      <c r="D13" s="3" t="s">
        <v>53</v>
      </c>
      <c r="E13" s="29" t="s">
        <v>92</v>
      </c>
      <c r="F13" s="23">
        <v>45.522375</v>
      </c>
      <c r="G13" s="23">
        <v>-73.5779194</v>
      </c>
      <c r="H13" s="43">
        <v>4.5</v>
      </c>
    </row>
    <row r="14">
      <c r="A14" s="29" t="s">
        <v>94</v>
      </c>
      <c r="B14" s="29" t="s">
        <v>57</v>
      </c>
      <c r="C14" s="29">
        <v>25.0</v>
      </c>
      <c r="D14" s="3" t="s">
        <v>73</v>
      </c>
      <c r="E14" s="29" t="s">
        <v>95</v>
      </c>
      <c r="F14" s="23">
        <v>45.5199025</v>
      </c>
      <c r="G14" s="23">
        <v>-73.5743636</v>
      </c>
      <c r="H14" s="43">
        <v>5.0</v>
      </c>
    </row>
    <row r="15">
      <c r="A15" s="29" t="s">
        <v>97</v>
      </c>
      <c r="B15" s="29" t="s">
        <v>65</v>
      </c>
      <c r="C15" s="29">
        <v>17.5</v>
      </c>
      <c r="D15" s="3" t="s">
        <v>98</v>
      </c>
      <c r="E15" s="29" t="s">
        <v>99</v>
      </c>
      <c r="F15" s="23">
        <v>45.5253117</v>
      </c>
      <c r="G15" s="23">
        <v>-73.5746721</v>
      </c>
      <c r="H15" s="43">
        <v>4.5</v>
      </c>
    </row>
    <row r="16">
      <c r="A16" s="29" t="s">
        <v>101</v>
      </c>
      <c r="B16" s="29" t="s">
        <v>65</v>
      </c>
      <c r="C16" s="29">
        <v>17.5</v>
      </c>
      <c r="D16" s="3" t="s">
        <v>73</v>
      </c>
      <c r="E16" s="29" t="s">
        <v>102</v>
      </c>
      <c r="F16" s="23">
        <v>45.5208609</v>
      </c>
      <c r="G16" s="23">
        <v>-73.5766261</v>
      </c>
      <c r="H16" s="43">
        <v>5.0</v>
      </c>
    </row>
    <row r="17">
      <c r="A17" s="29" t="s">
        <v>104</v>
      </c>
      <c r="B17" s="29" t="s">
        <v>69</v>
      </c>
      <c r="C17" s="29">
        <v>10.0</v>
      </c>
      <c r="D17" s="3" t="s">
        <v>58</v>
      </c>
      <c r="E17" s="29" t="s">
        <v>105</v>
      </c>
      <c r="F17" s="23">
        <v>45.5180023</v>
      </c>
      <c r="G17" s="23">
        <v>-73.5693333999999</v>
      </c>
      <c r="H17" s="43">
        <v>5.0</v>
      </c>
    </row>
    <row r="18">
      <c r="A18" s="29" t="s">
        <v>107</v>
      </c>
      <c r="B18" s="29" t="s">
        <v>65</v>
      </c>
      <c r="C18" s="29">
        <v>17.5</v>
      </c>
      <c r="D18" s="3" t="s">
        <v>53</v>
      </c>
      <c r="E18" s="29" t="s">
        <v>108</v>
      </c>
      <c r="F18" s="23">
        <v>45.5250157</v>
      </c>
      <c r="G18" s="23">
        <v>-73.5847790999999</v>
      </c>
      <c r="H18" s="43">
        <v>5.0</v>
      </c>
    </row>
    <row r="19">
      <c r="A19" s="29" t="s">
        <v>110</v>
      </c>
      <c r="B19" s="29" t="s">
        <v>52</v>
      </c>
      <c r="C19" s="29">
        <v>31.25</v>
      </c>
      <c r="D19" s="3" t="s">
        <v>73</v>
      </c>
      <c r="E19" s="29" t="s">
        <v>111</v>
      </c>
      <c r="F19" s="23">
        <v>45.5292533999999</v>
      </c>
      <c r="G19" s="23">
        <v>-73.5783917999999</v>
      </c>
      <c r="H19" s="43">
        <v>5.0</v>
      </c>
    </row>
    <row r="20">
      <c r="A20" s="29" t="s">
        <v>113</v>
      </c>
      <c r="B20" s="29" t="s">
        <v>69</v>
      </c>
      <c r="C20" s="29">
        <v>10.0</v>
      </c>
      <c r="D20" s="3" t="s">
        <v>114</v>
      </c>
      <c r="E20" s="29" t="s">
        <v>115</v>
      </c>
      <c r="F20" s="23">
        <v>45.5212949999999</v>
      </c>
      <c r="G20" s="23">
        <v>-73.5970541</v>
      </c>
      <c r="H20" s="43">
        <v>5.0</v>
      </c>
    </row>
    <row r="21">
      <c r="A21" s="29" t="s">
        <v>117</v>
      </c>
      <c r="B21" s="29" t="s">
        <v>65</v>
      </c>
      <c r="C21" s="29">
        <v>17.5</v>
      </c>
      <c r="D21" s="3" t="s">
        <v>53</v>
      </c>
      <c r="E21" s="29" t="s">
        <v>118</v>
      </c>
      <c r="F21" s="23">
        <v>45.5241379</v>
      </c>
      <c r="G21" s="23">
        <v>-73.5948184</v>
      </c>
      <c r="H21" s="43">
        <v>5.0</v>
      </c>
    </row>
    <row r="22">
      <c r="A22" s="29" t="s">
        <v>120</v>
      </c>
      <c r="B22" s="29" t="s">
        <v>69</v>
      </c>
      <c r="C22" s="29">
        <v>10.0</v>
      </c>
      <c r="D22" s="3" t="s">
        <v>53</v>
      </c>
      <c r="E22" s="29" t="s">
        <v>121</v>
      </c>
      <c r="F22" s="23">
        <v>45.5232378</v>
      </c>
      <c r="G22" s="23">
        <v>-73.5833342999999</v>
      </c>
      <c r="H22" s="43">
        <v>5.0</v>
      </c>
    </row>
    <row r="23">
      <c r="A23" s="29" t="s">
        <v>123</v>
      </c>
      <c r="B23" s="29" t="s">
        <v>65</v>
      </c>
      <c r="C23" s="29">
        <v>17.5</v>
      </c>
      <c r="D23" s="3"/>
      <c r="E23" s="29" t="s">
        <v>124</v>
      </c>
      <c r="F23" s="23">
        <v>45.522635</v>
      </c>
      <c r="G23" s="23">
        <v>-73.574298</v>
      </c>
      <c r="H23" s="43">
        <v>4.5</v>
      </c>
    </row>
    <row r="24">
      <c r="A24" s="29" t="s">
        <v>126</v>
      </c>
      <c r="B24" s="29" t="s">
        <v>52</v>
      </c>
      <c r="C24" s="29">
        <v>31.25</v>
      </c>
      <c r="D24" s="3" t="str">
        <f>IFERROR(__xludf.DUMMYFUNCTION("IMPORTXML(#REF!,'URLs and Paths'!$B$5)"),"#REF!")</f>
        <v>#REF!</v>
      </c>
      <c r="E24" s="29" t="s">
        <v>127</v>
      </c>
      <c r="F24" s="23">
        <v>45.5172672</v>
      </c>
      <c r="G24" s="23">
        <v>-73.5687045999999</v>
      </c>
      <c r="H24" s="43">
        <v>5.0</v>
      </c>
    </row>
    <row r="25">
      <c r="A25" s="29" t="s">
        <v>129</v>
      </c>
      <c r="B25" s="29" t="s">
        <v>57</v>
      </c>
      <c r="C25" s="29">
        <v>25.0</v>
      </c>
      <c r="D25" s="3"/>
      <c r="E25" s="29" t="s">
        <v>130</v>
      </c>
      <c r="F25" s="23">
        <v>45.5221494</v>
      </c>
      <c r="G25" s="23">
        <v>-73.59111</v>
      </c>
      <c r="H25" s="43">
        <v>4.5</v>
      </c>
    </row>
    <row r="26">
      <c r="A26" s="29" t="s">
        <v>132</v>
      </c>
      <c r="B26" s="29" t="s">
        <v>57</v>
      </c>
      <c r="C26" s="29">
        <v>25.0</v>
      </c>
      <c r="D26" s="3" t="s">
        <v>58</v>
      </c>
      <c r="E26" s="29" t="s">
        <v>133</v>
      </c>
      <c r="F26" s="23">
        <v>45.517576</v>
      </c>
      <c r="G26" s="23">
        <v>-73.5817725</v>
      </c>
      <c r="H26" s="43">
        <v>5.0</v>
      </c>
    </row>
    <row r="27">
      <c r="A27" s="29" t="s">
        <v>135</v>
      </c>
      <c r="B27" s="29" t="s">
        <v>65</v>
      </c>
      <c r="C27" s="29">
        <v>17.5</v>
      </c>
      <c r="D27" s="3" t="s">
        <v>53</v>
      </c>
      <c r="E27" s="29" t="s">
        <v>136</v>
      </c>
      <c r="F27" s="23">
        <v>45.522282</v>
      </c>
      <c r="G27" s="23">
        <v>-73.6028316</v>
      </c>
      <c r="H27" s="43">
        <v>5.0</v>
      </c>
    </row>
    <row r="28">
      <c r="A28" s="29" t="s">
        <v>138</v>
      </c>
      <c r="B28" s="29" t="s">
        <v>65</v>
      </c>
      <c r="C28" s="29">
        <v>17.5</v>
      </c>
      <c r="D28" s="3" t="s">
        <v>73</v>
      </c>
      <c r="E28" s="29" t="s">
        <v>139</v>
      </c>
      <c r="F28" s="23">
        <v>45.5162372</v>
      </c>
      <c r="G28" s="23">
        <v>-73.5656314</v>
      </c>
      <c r="H28" s="43">
        <v>4.0</v>
      </c>
    </row>
    <row r="29">
      <c r="A29" s="29" t="s">
        <v>141</v>
      </c>
      <c r="B29" s="29" t="s">
        <v>57</v>
      </c>
      <c r="C29" s="29">
        <v>25.0</v>
      </c>
      <c r="D29" s="3" t="s">
        <v>58</v>
      </c>
      <c r="E29" s="29" t="s">
        <v>142</v>
      </c>
      <c r="F29" s="23">
        <v>45.5211176</v>
      </c>
      <c r="G29" s="23">
        <v>-73.5753568</v>
      </c>
      <c r="H29" s="43">
        <v>5.0</v>
      </c>
    </row>
    <row r="30">
      <c r="A30" s="29" t="s">
        <v>144</v>
      </c>
      <c r="B30" s="29" t="s">
        <v>65</v>
      </c>
      <c r="C30" s="29">
        <v>17.5</v>
      </c>
      <c r="D30" s="3" t="s">
        <v>73</v>
      </c>
      <c r="E30" s="29" t="s">
        <v>145</v>
      </c>
      <c r="F30" s="23">
        <v>45.5144876</v>
      </c>
      <c r="G30" s="23">
        <v>-73.5718456</v>
      </c>
      <c r="H30" s="43">
        <v>5.0</v>
      </c>
    </row>
    <row r="31">
      <c r="A31" s="29" t="s">
        <v>147</v>
      </c>
      <c r="B31" s="29" t="s">
        <v>69</v>
      </c>
      <c r="C31" s="29">
        <v>10.0</v>
      </c>
      <c r="D31" s="3" t="s">
        <v>148</v>
      </c>
      <c r="E31" s="29" t="s">
        <v>149</v>
      </c>
      <c r="F31" s="23">
        <v>45.5134992</v>
      </c>
      <c r="G31" s="23">
        <v>-73.571102</v>
      </c>
      <c r="H31" s="43">
        <v>4.5</v>
      </c>
    </row>
    <row r="32">
      <c r="A32" s="29" t="s">
        <v>151</v>
      </c>
      <c r="B32" s="29" t="s">
        <v>57</v>
      </c>
      <c r="C32" s="29">
        <v>25.0</v>
      </c>
      <c r="D32" s="3"/>
      <c r="E32" s="29" t="s">
        <v>152</v>
      </c>
      <c r="F32" s="23">
        <v>45.5143778</v>
      </c>
      <c r="G32" s="23">
        <v>-73.5731651</v>
      </c>
      <c r="H32" s="43">
        <v>5.0</v>
      </c>
    </row>
    <row r="33">
      <c r="A33" s="29" t="s">
        <v>154</v>
      </c>
      <c r="B33" s="29" t="s">
        <v>52</v>
      </c>
      <c r="C33" s="29">
        <v>31.25</v>
      </c>
      <c r="D33" s="3" t="s">
        <v>73</v>
      </c>
      <c r="E33" s="23" t="s">
        <v>155</v>
      </c>
      <c r="F33" s="23">
        <v>45.5157511</v>
      </c>
      <c r="G33" s="23">
        <v>-73.5644366</v>
      </c>
      <c r="H33" s="43">
        <v>5.0</v>
      </c>
    </row>
    <row r="34">
      <c r="A34" s="29" t="s">
        <v>157</v>
      </c>
      <c r="B34" s="29" t="s">
        <v>52</v>
      </c>
      <c r="C34" s="29">
        <v>31.25</v>
      </c>
      <c r="D34" s="3"/>
      <c r="E34" s="29" t="s">
        <v>158</v>
      </c>
      <c r="F34" s="23">
        <v>45.5292375999999</v>
      </c>
      <c r="G34" s="23">
        <v>-73.5784027</v>
      </c>
      <c r="H34" s="43">
        <v>4.5</v>
      </c>
    </row>
    <row r="35">
      <c r="A35" s="29" t="s">
        <v>160</v>
      </c>
      <c r="B35" s="29" t="s">
        <v>69</v>
      </c>
      <c r="C35" s="29">
        <v>10.0</v>
      </c>
      <c r="D35" s="3" t="s">
        <v>53</v>
      </c>
      <c r="E35" s="29" t="s">
        <v>161</v>
      </c>
      <c r="F35" s="23">
        <v>45.5196338</v>
      </c>
      <c r="G35" s="23">
        <v>-73.5728477</v>
      </c>
      <c r="H35" s="43">
        <v>4.5</v>
      </c>
    </row>
    <row r="36">
      <c r="A36" s="29" t="s">
        <v>163</v>
      </c>
      <c r="B36" s="29" t="s">
        <v>57</v>
      </c>
      <c r="C36" s="29">
        <v>25.0</v>
      </c>
      <c r="D36" s="3" t="s">
        <v>148</v>
      </c>
      <c r="E36" s="29" t="s">
        <v>164</v>
      </c>
      <c r="F36" s="23">
        <v>45.5331672</v>
      </c>
      <c r="G36" s="23">
        <v>-73.5755743</v>
      </c>
      <c r="H36" s="43">
        <v>4.5</v>
      </c>
    </row>
    <row r="37">
      <c r="A37" s="29" t="s">
        <v>166</v>
      </c>
      <c r="B37" s="29" t="s">
        <v>69</v>
      </c>
      <c r="C37" s="29">
        <v>10.0</v>
      </c>
      <c r="D37" s="3" t="s">
        <v>58</v>
      </c>
      <c r="E37" s="29" t="s">
        <v>167</v>
      </c>
      <c r="F37" s="23">
        <v>45.5215273</v>
      </c>
      <c r="G37" s="23">
        <v>-73.5891254</v>
      </c>
      <c r="H37" s="43">
        <v>5.0</v>
      </c>
    </row>
    <row r="38">
      <c r="A38" s="29" t="s">
        <v>169</v>
      </c>
      <c r="B38" s="29" t="s">
        <v>57</v>
      </c>
      <c r="C38" s="29">
        <v>25.0</v>
      </c>
      <c r="D38" s="3" t="s">
        <v>73</v>
      </c>
      <c r="E38" s="29" t="s">
        <v>170</v>
      </c>
      <c r="F38" s="23">
        <v>45.5221168</v>
      </c>
      <c r="G38" s="23">
        <v>-73.5848292</v>
      </c>
      <c r="H38" s="43">
        <v>4.5</v>
      </c>
    </row>
    <row r="39">
      <c r="A39" s="29" t="s">
        <v>172</v>
      </c>
      <c r="B39" s="29" t="s">
        <v>69</v>
      </c>
      <c r="C39" s="29">
        <v>10.0</v>
      </c>
      <c r="D39" s="3" t="s">
        <v>58</v>
      </c>
      <c r="E39" s="29" t="s">
        <v>173</v>
      </c>
      <c r="F39" s="23">
        <v>45.5251927</v>
      </c>
      <c r="G39" s="23">
        <v>-73.5781704</v>
      </c>
      <c r="H39" s="43">
        <v>5.0</v>
      </c>
    </row>
    <row r="40">
      <c r="A40" s="29" t="s">
        <v>175</v>
      </c>
      <c r="B40" s="29" t="s">
        <v>65</v>
      </c>
      <c r="C40" s="29">
        <v>17.5</v>
      </c>
      <c r="D40" s="3"/>
      <c r="E40" s="29" t="s">
        <v>176</v>
      </c>
      <c r="F40" s="23">
        <v>45.5239351</v>
      </c>
      <c r="G40" s="23">
        <v>-73.5823413</v>
      </c>
      <c r="H40" s="43">
        <v>4.5</v>
      </c>
    </row>
    <row r="41">
      <c r="A41" s="29" t="s">
        <v>178</v>
      </c>
      <c r="B41" s="29" t="s">
        <v>57</v>
      </c>
      <c r="C41" s="29">
        <v>25.0</v>
      </c>
      <c r="D41" s="3" t="s">
        <v>58</v>
      </c>
      <c r="E41" s="29" t="s">
        <v>179</v>
      </c>
      <c r="F41" s="23">
        <v>45.5222142</v>
      </c>
      <c r="G41" s="23">
        <v>-73.5810267</v>
      </c>
      <c r="H41" s="43">
        <v>5.0</v>
      </c>
    </row>
    <row r="42">
      <c r="A42" s="29" t="s">
        <v>181</v>
      </c>
      <c r="B42" s="29" t="s">
        <v>69</v>
      </c>
      <c r="C42" s="29">
        <v>10.0</v>
      </c>
      <c r="D42" s="3" t="s">
        <v>53</v>
      </c>
      <c r="E42" s="29" t="s">
        <v>182</v>
      </c>
      <c r="F42" s="23">
        <v>45.5311382999999</v>
      </c>
      <c r="G42" s="23">
        <v>-73.576443</v>
      </c>
      <c r="H42" s="43">
        <v>5.0</v>
      </c>
    </row>
    <row r="43">
      <c r="A43" s="29" t="s">
        <v>184</v>
      </c>
      <c r="B43" s="29" t="s">
        <v>52</v>
      </c>
      <c r="C43" s="29">
        <v>31.25</v>
      </c>
      <c r="D43" s="3" t="s">
        <v>53</v>
      </c>
      <c r="E43" s="29" t="s">
        <v>185</v>
      </c>
      <c r="F43" s="23">
        <v>45.5143391</v>
      </c>
      <c r="G43" s="23">
        <v>-73.572407</v>
      </c>
      <c r="H43" s="43">
        <v>4.5</v>
      </c>
    </row>
    <row r="44">
      <c r="A44" s="29" t="s">
        <v>187</v>
      </c>
      <c r="B44" s="29" t="s">
        <v>69</v>
      </c>
      <c r="C44" s="29">
        <v>10.0</v>
      </c>
      <c r="D44" s="3"/>
      <c r="E44" s="29" t="s">
        <v>188</v>
      </c>
      <c r="F44" s="23">
        <v>45.5348646</v>
      </c>
      <c r="G44" s="23">
        <v>-73.5730148</v>
      </c>
      <c r="H44" s="43">
        <v>4.5</v>
      </c>
    </row>
    <row r="45">
      <c r="A45" s="29" t="s">
        <v>190</v>
      </c>
      <c r="B45" s="29" t="s">
        <v>191</v>
      </c>
      <c r="C45" s="29">
        <v>37.5</v>
      </c>
      <c r="D45" s="3" t="s">
        <v>53</v>
      </c>
      <c r="E45" s="29" t="s">
        <v>192</v>
      </c>
      <c r="F45" s="23">
        <v>45.5280020999999</v>
      </c>
      <c r="G45" s="23">
        <v>-73.5912597</v>
      </c>
      <c r="H45" s="43">
        <v>5.0</v>
      </c>
    </row>
    <row r="46">
      <c r="A46" s="29" t="s">
        <v>194</v>
      </c>
      <c r="B46" s="29" t="s">
        <v>52</v>
      </c>
      <c r="C46" s="29">
        <v>31.25</v>
      </c>
      <c r="D46" s="3" t="s">
        <v>73</v>
      </c>
      <c r="E46" s="29" t="s">
        <v>195</v>
      </c>
      <c r="F46" s="23">
        <v>45.5241886</v>
      </c>
      <c r="G46" s="23">
        <v>-73.5837526</v>
      </c>
      <c r="H46" s="43">
        <v>5.0</v>
      </c>
    </row>
    <row r="47">
      <c r="A47" s="29" t="s">
        <v>197</v>
      </c>
      <c r="B47" s="29" t="s">
        <v>69</v>
      </c>
      <c r="C47" s="29">
        <v>10.0</v>
      </c>
      <c r="D47" s="3" t="s">
        <v>73</v>
      </c>
      <c r="E47" s="29" t="s">
        <v>214</v>
      </c>
      <c r="F47" s="23">
        <v>45.5349716</v>
      </c>
      <c r="G47" s="23">
        <v>-73.5729135</v>
      </c>
      <c r="H47" s="43">
        <v>4.5</v>
      </c>
    </row>
    <row r="48">
      <c r="A48" s="29" t="s">
        <v>199</v>
      </c>
      <c r="B48" s="29" t="s">
        <v>65</v>
      </c>
      <c r="C48" s="29">
        <v>17.5</v>
      </c>
      <c r="D48" s="3" t="s">
        <v>73</v>
      </c>
      <c r="E48" s="23" t="s">
        <v>215</v>
      </c>
      <c r="F48" s="23">
        <v>45.5164584</v>
      </c>
      <c r="G48" s="23">
        <v>-73.5776652</v>
      </c>
      <c r="H48" s="43">
        <v>4.5</v>
      </c>
    </row>
    <row r="49">
      <c r="A49" s="29" t="s">
        <v>201</v>
      </c>
      <c r="B49" s="29" t="s">
        <v>52</v>
      </c>
      <c r="C49" s="29">
        <v>31.25</v>
      </c>
      <c r="D49" s="3" t="s">
        <v>58</v>
      </c>
      <c r="E49" s="23" t="s">
        <v>216</v>
      </c>
      <c r="F49" s="23">
        <v>45.5170773</v>
      </c>
      <c r="G49" s="23">
        <v>-73.5978114999999</v>
      </c>
      <c r="H49" s="43">
        <v>5.0</v>
      </c>
    </row>
    <row r="50">
      <c r="A50" s="29" t="s">
        <v>203</v>
      </c>
      <c r="D50" s="3" t="e">
        <v>#N/A</v>
      </c>
      <c r="E50" s="23" t="s">
        <v>217</v>
      </c>
      <c r="F50" s="23">
        <v>45.5198660999999</v>
      </c>
      <c r="G50" s="23">
        <v>-73.5861403</v>
      </c>
      <c r="H50" s="43">
        <v>4.5</v>
      </c>
    </row>
    <row r="51">
      <c r="A51" s="29" t="s">
        <v>205</v>
      </c>
      <c r="C51" s="29">
        <v>25.0</v>
      </c>
      <c r="D51" s="3" t="s">
        <v>148</v>
      </c>
      <c r="E51" s="23" t="s">
        <v>218</v>
      </c>
      <c r="F51" s="23">
        <v>45.5331182</v>
      </c>
      <c r="G51" s="23">
        <v>-73.5754985</v>
      </c>
      <c r="H51" s="43">
        <v>4.5</v>
      </c>
    </row>
    <row r="52">
      <c r="A52" s="44"/>
      <c r="B52" s="44"/>
      <c r="C52" s="44"/>
      <c r="D52" s="45"/>
      <c r="E52" s="44"/>
      <c r="F52" s="46"/>
      <c r="G52" s="46"/>
      <c r="H52" s="47">
        <f>AVERAGE(Table2[Rating Value])</f>
        <v>4.77</v>
      </c>
    </row>
    <row r="53">
      <c r="A53" s="44"/>
      <c r="B53" s="44"/>
      <c r="C53" s="44"/>
      <c r="D53" s="45"/>
      <c r="E53" s="44"/>
      <c r="F53" s="46"/>
      <c r="G53" s="46"/>
      <c r="H53" s="47"/>
    </row>
    <row r="54">
      <c r="A54" s="44"/>
      <c r="B54" s="44"/>
      <c r="C54" s="44"/>
      <c r="D54" s="45"/>
      <c r="E54" s="44"/>
      <c r="F54" s="46"/>
      <c r="G54" s="46"/>
      <c r="H54" s="47"/>
    </row>
    <row r="55">
      <c r="A55" s="44"/>
      <c r="B55" s="44"/>
      <c r="C55" s="44"/>
      <c r="D55" s="45"/>
      <c r="E55" s="44"/>
      <c r="F55" s="46"/>
      <c r="G55" s="46"/>
      <c r="H55" s="47"/>
    </row>
  </sheetData>
  <drawing r:id="rId1"/>
  <tableParts count="1">
    <tablePart r:id="rId3"/>
  </tableParts>
</worksheet>
</file>